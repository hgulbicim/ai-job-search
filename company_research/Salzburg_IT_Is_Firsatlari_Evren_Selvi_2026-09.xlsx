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Özet" sheetId="1" state="visible" r:id="rId3"/>
    <sheet name="İlanlar" sheetId="2" state="visible" r:id="rId4"/>
    <sheet name="Firmalar" sheetId="3" state="visible" r:id="rId5"/>
    <sheet name="Kariyer Firmaları" sheetId="4" state="visible" r:id="rId6"/>
    <sheet name="İş Portalları" sheetId="5" state="visible" r:id="rId7"/>
    <sheet name="Eksikler &amp; Aksiyon" sheetId="6" state="visible" r:id="rId8"/>
    <sheet name="Maaş &amp; Kaynaklar" sheetId="7" state="visible" r:id="rId9"/>
    <sheet name="Arşiv (elenen ilanlar)" sheetId="8" state="visible" r:id="rId10"/>
  </sheets>
  <definedNames>
    <definedName function="false" hidden="true" localSheetId="7" name="_xlnm._FilterDatabase" vbProcedure="false">'Arşiv (elenen ilanlar)'!$A$4:$I$98</definedName>
    <definedName function="false" hidden="true" localSheetId="2" name="_xlnm._FilterDatabase" vbProcedure="false">Firmalar!$A$4:$L$46</definedName>
    <definedName function="false" hidden="true" localSheetId="1" name="_xlnm._FilterDatabase" vbProcedure="false">İlanlar!$A$4:$AE$47</definedName>
    <definedName function="false" hidden="true" localSheetId="3" name="_xlnm._FilterDatabase" vbProcedure="false">'Kariyer Firmaları'!$A$4:$H$24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4" authorId="0">
      <text>
        <r>
          <rPr>
            <sz val="10"/>
            <rFont val="Arial"/>
            <family val="2"/>
          </rPr>
          <t xml:space="preserve">GÜNCEL: yayın tarihi Ağu–Eyl 2026 olarak görüldü veya en yeni ilan numarası. AÇIK OLABİLİR: tam URL arama indeksinde var, kapanış kanıtı yok; başvurmadan önce linki aç.</t>
        </r>
      </text>
    </comment>
    <comment ref="X4" authorId="0">
      <text>
        <r>
          <rPr>
            <sz val="10"/>
            <rFont val="Arial"/>
            <family val="2"/>
          </rPr>
          <t xml:space="preserve">Uyum % = Σ(puan × ağırlık) / 5. Ağırlıklar Özet sayfasındaki sarı hücrelerden gelir.</t>
        </r>
      </text>
    </comment>
  </commentList>
</comments>
</file>

<file path=xl/sharedStrings.xml><?xml version="1.0" encoding="utf-8"?>
<sst xmlns="http://schemas.openxmlformats.org/spreadsheetml/2006/main" count="2334" uniqueCount="1461">
  <si>
    <t xml:space="preserve">Salzburg ve Çevresi – IT İş Fırsatları Analizi</t>
  </si>
  <si>
    <t xml:space="preserve">Aday: Evren Selvi · İlk derleme 26.09.2026 · Link ve ilan doğrulaması 27.09.2026 (her ilan yeniden arandı; kapanmış/doğrulanamayanlar Arşiv sayfasında)</t>
  </si>
  <si>
    <t xml:space="preserve">ADAY PROFİLİ (CV'den)</t>
  </si>
  <si>
    <t xml:space="preserve">Mevcut konum</t>
  </si>
  <si>
    <t xml:space="preserve">Salzburg, Avusturya – hemen başlayabilir; Avusturya'da çalışma izni var</t>
  </si>
  <si>
    <t xml:space="preserve">Deneyim</t>
  </si>
  <si>
    <t xml:space="preserve">15+ yıl kurumsal IT: IT Manager (Inditex, 2021–23), ISMS Executive (2016–21), Senior IT Project Resp. (2012–16), M&amp;S/GAP Retail IT Ops (2007–12)</t>
  </si>
  <si>
    <t xml:space="preserve">Güçlü yönler</t>
  </si>
  <si>
    <t xml:space="preserve">200+ mağaza / 17.000 cihaz IT operasyonu · ISO 27001 ISMS (5 yıl) · AD / Windows Server · sanallaştırma (Hyper-V, Proxmox) · backup/DR · ağ (VLAN/VPN/firewall) · ITIL · bütçe &amp; tedarikçi yönetimi</t>
  </si>
  <si>
    <t xml:space="preserve">Sertifikalar</t>
  </si>
  <si>
    <t xml:space="preserve">ISO 27001 Internal Auditor · ITIL (Axelos) · MCDBA · SQL Server 2005/2008 · Excel Expert · Linux (İTÜ eğitim)</t>
  </si>
  <si>
    <t xml:space="preserve">Diller</t>
  </si>
  <si>
    <t xml:space="preserve">Türkçe (ana dil) · İngilizce (ileri) · Almanca B1/B2 (kullanıcı teyidi – CV'de ‘Elementary’ yazıyor → güncellenmeli)</t>
  </si>
  <si>
    <t xml:space="preserve">Hedef roller</t>
  </si>
  <si>
    <t xml:space="preserve">IT Infrastructure / Operations Manager · ISMS / Information Security Manager · IT-Teamleiter · Senior SysAdmin · IT Service Manager</t>
  </si>
  <si>
    <t xml:space="preserve">PUANLAMA AĞIRLIKLARI (sarı hücreler değiştirilebilir – tüm puanlar otomatik güncellenir)</t>
  </si>
  <si>
    <t xml:space="preserve">Kriter</t>
  </si>
  <si>
    <t xml:space="preserve">Ağırlık</t>
  </si>
  <si>
    <t xml:space="preserve">Açıklama</t>
  </si>
  <si>
    <t xml:space="preserve">Teknik uyum</t>
  </si>
  <si>
    <t xml:space="preserve">Beceri eşleşmesi: Windows Server/AD, ağ, ISMS/ISO 27001, ITIL, backup/DR, SQL</t>
  </si>
  <si>
    <t xml:space="preserve">Deneyim / kıdem uyumu</t>
  </si>
  <si>
    <t xml:space="preserve">15+ yıl, yönetici seviyesi; junior roller düşük puan (overqualified)</t>
  </si>
  <si>
    <t xml:space="preserve">Dil uyumu</t>
  </si>
  <si>
    <t xml:space="preserve">İngilizce ileri, Almanca B1/B2, Türkçe ana dil (skala aşağıda)</t>
  </si>
  <si>
    <t xml:space="preserve">Sektör / kültür</t>
  </si>
  <si>
    <t xml:space="preserve">Perakende, çok lokasyonlu kurumsal, uluslararası ortam artı puan</t>
  </si>
  <si>
    <t xml:space="preserve">Lokasyon / ulaşım</t>
  </si>
  <si>
    <t xml:space="preserve">Salzburg merkezden süre (≤30 dk = 5, 30–45 = 4, 45–60 = 3, 60–90 = 2)</t>
  </si>
  <si>
    <t xml:space="preserve">Maaş / kariyer potansiyeli</t>
  </si>
  <si>
    <t xml:space="preserve">Maaş aralığı ve kariyer basamağı</t>
  </si>
  <si>
    <t xml:space="preserve">Toplam (100% olmalı)</t>
  </si>
  <si>
    <t xml:space="preserve">Dil ağırlığı %20 (27.09: %25'ten düşürüldü – sadece Almanca ilanların cezası azaldı); teknik uyum %35</t>
  </si>
  <si>
    <t xml:space="preserve">DİL PUANI SKALASI</t>
  </si>
  <si>
    <t xml:space="preserve">Dil kodu</t>
  </si>
  <si>
    <t xml:space="preserve">Puan</t>
  </si>
  <si>
    <t xml:space="preserve">Anlamı</t>
  </si>
  <si>
    <t xml:space="preserve">EN</t>
  </si>
  <si>
    <t xml:space="preserve">İngilizce çalışma dili (Red Bull, Palfinger, SKIDATA, oteller, remote)</t>
  </si>
  <si>
    <t xml:space="preserve">EN (+DE artı)</t>
  </si>
  <si>
    <t xml:space="preserve">İngilizce ilan / uluslararası ekip; Almanca avantaj</t>
  </si>
  <si>
    <t xml:space="preserve">EN+DE</t>
  </si>
  <si>
    <t xml:space="preserve">İngilizce + Almanca birlikte isteniyor (B1/B2 ile başvurulabilir)</t>
  </si>
  <si>
    <t xml:space="preserve">DE</t>
  </si>
  <si>
    <t xml:space="preserve">Sadece Almanca ilan – B1/B2 ile zorlayıcı</t>
  </si>
  <si>
    <t xml:space="preserve">DE C1</t>
  </si>
  <si>
    <t xml:space="preserve">Almanca C1 / ‘sehr gute Deutschkenntnisse’ / kamu sektörü – şu an zor</t>
  </si>
  <si>
    <t xml:space="preserve">Türkçe</t>
  </si>
  <si>
    <t xml:space="preserve">+</t>
  </si>
  <si>
    <t xml:space="preserve">Salzburg'da Türkçe isteyen IT ilanı bulunamadı; Türkçe, Inditex ağı ve Türkiye/SEE bağlantılı firmalarda artı olarak yazıldı</t>
  </si>
  <si>
    <t xml:space="preserve">İSTATİSTİKLER</t>
  </si>
  <si>
    <t xml:space="preserve">Toplam ilan</t>
  </si>
  <si>
    <t xml:space="preserve">A – Hemen başvur (≥80%)</t>
  </si>
  <si>
    <t xml:space="preserve">B – Başvur (65–79%)</t>
  </si>
  <si>
    <t xml:space="preserve">C – Opsiyonel (&lt;65%)</t>
  </si>
  <si>
    <t xml:space="preserve">Takip (eski/kapalı ilan – benzeri beklenir)</t>
  </si>
  <si>
    <t xml:space="preserve">İngilizce çalışma dili (EN)</t>
  </si>
  <si>
    <t xml:space="preserve">İngilizce + Almanca (EN+DE)</t>
  </si>
  <si>
    <t xml:space="preserve">Sadece Almanca (DE / DE C1)</t>
  </si>
  <si>
    <t xml:space="preserve">Durum: GÜNCEL (tarih teyitli)</t>
  </si>
  <si>
    <t xml:space="preserve">Durum: AÇIK OLABİLİR – linki kontrol et</t>
  </si>
  <si>
    <t xml:space="preserve">Arşive alınan ilan (kapalı / doğrulanamadı / lokasyon hatalı)</t>
  </si>
  <si>
    <t xml:space="preserve">Ortalama uyum</t>
  </si>
  <si>
    <t xml:space="preserve">En yüksek uyum</t>
  </si>
  <si>
    <t xml:space="preserve">EN UYUMLU 25 İLAN (IT altyapı, yönetim ve cyber security tek listede – otomatik)</t>
  </si>
  <si>
    <t xml:space="preserve">Firma</t>
  </si>
  <si>
    <t xml:space="preserve">Sıra</t>
  </si>
  <si>
    <t xml:space="preserve">Pozisyon</t>
  </si>
  <si>
    <t xml:space="preserve">Lokasyon</t>
  </si>
  <si>
    <t xml:space="preserve">Dil</t>
  </si>
  <si>
    <t xml:space="preserve">Uyum %</t>
  </si>
  <si>
    <t xml:space="preserve">Öncelik</t>
  </si>
  <si>
    <t xml:space="preserve">Durum</t>
  </si>
  <si>
    <t xml:space="preserve">ÖNEMLİ NOTLAR</t>
  </si>
  <si>
    <t xml:space="preserve">1) 27.09.2026 DOĞRULAMASI: İlk sürümdeki 132 linkin 24'ü ilan değil arama/liste sayfasıydı, ~15'i firmanın genel kariyer sayfasıydı, 19'u aggregator kopyasıydı ve Palfinger/Red Bull linkleri yanlış ülke sürümüydü. Her ilan yeniden arandı; yalnızca TAM URL'si arama sonuçlarında birebir çıkan ve kapandığına dair kanıt bulunmayan ilanlar bu sayfada kaldı. Diğerleri gerekçesiyle Arşiv sayfasında.</t>
  </si>
  <si>
    <t xml:space="preserve">1a) UYARI (27.09.2026): Doğrudan ilan linkleri tıklanarak test EDİLEMEDİ ve bir kısmı çalışmıyor (ör. Red Bull IT Infrastructure Security Consultant sunucu hatası verdi → arşive alındı). Başvururken önce 'KARİYER PORTALI' sütunundaki firma sayfasını aç ve pozisyon adını ara; doğrudan link yedektir.</t>
  </si>
  <si>
    <t xml:space="preserve">1b) Bu ortam iş sitelerine HTTP erişemiyor; linkler tıklanarak değil arama motoru indeksiyle doğrulandı. ‘AÇIK OLABİLİR’ = URL indekste var, kapanış kanıtı yok; ilan yine de kapanmış olabilir. Tarihler karriere.at/karriere.sn ID ölçeğiyle tahmin edildi (bkz. Maaş &amp; Kaynaklar → Doğrulama yöntemi).</t>
  </si>
  <si>
    <t xml:space="preserve">2) Puanlar CV + ilan özetine dayalı tahmindir (1–5). Sarı ağırlıkları değiştirerek sıralamayı kendi önceliğine göre yeniden hesaplatabilirsin; puan hücreleri (İlanlar R–W) mavi yazılıdır ve düzenlenebilir.</t>
  </si>
  <si>
    <t xml:space="preserve">3) Dil tercihi: İngilizce ve İngilizce+Almanca roller hâlâ öne çıkıyor, ancak dil ağırlığı %20’ye düşürüldü; sadece Almanca ilanlar daha az cezalanıyor. Salzburg'da Türkçe isteyen IT ilanı bulunamadı; Türkçe avantajı Inditex iç referansı ve Türkiye/SEE bağlantılı firmalarda kullanılmalı.</t>
  </si>
  <si>
    <t xml:space="preserve">4) CV'de Almanca ‘Elementary’ yazıyor – B1/B2 olarak güncellenmeli; aksi halde ATS/İK filtrelerinde elenme riski yüksek.</t>
  </si>
  <si>
    <t xml:space="preserve">5) Almanya (Freilassing vb.) rolleri için Avusturya çalışma izninin Almanya'da geçerli olup olmadığı ayrıca kontrol edilmeli (AB vatandaşlığı yoksa ayrı izin gerekebilir).</t>
  </si>
  <si>
    <t xml:space="preserve">İş İlanları – Salzburg &amp; Çevresi (uyum puanına göre sıralı)</t>
  </si>
  <si>
    <t xml:space="preserve">Sadece doğrulanan ilanlar · Mavi = düzenlenebilir puan (1–5) · Durum: GÜNCEL (tarih teyitli) / AÇIK OLABİLİR (URL indekste, kapanış kanıtı yok) · Kapalı ve doğrulanamayanlar: Arşiv sayfası</t>
  </si>
  <si>
    <t xml:space="preserve">PUANLAR (1–5)</t>
  </si>
  <si>
    <t xml:space="preserve">No</t>
  </si>
  <si>
    <t xml:space="preserve">Salzburg'dan ulaşım</t>
  </si>
  <si>
    <t xml:space="preserve">Kategori</t>
  </si>
  <si>
    <t xml:space="preserve">Çalışma dili</t>
  </si>
  <si>
    <t xml:space="preserve">Türkçe avantajı</t>
  </si>
  <si>
    <t xml:space="preserve">Kıdem</t>
  </si>
  <si>
    <t xml:space="preserve">Maaş bilgisi</t>
  </si>
  <si>
    <t xml:space="preserve">Yayın tarihi (tahmini)</t>
  </si>
  <si>
    <t xml:space="preserve">Link türü</t>
  </si>
  <si>
    <t xml:space="preserve">Doğrudan ilan linki (tıklanarak TEST EDİLMEDİ)</t>
  </si>
  <si>
    <t xml:space="preserve">Temel gereksinimler</t>
  </si>
  <si>
    <t xml:space="preserve">CV ile eşleşenler</t>
  </si>
  <si>
    <t xml:space="preserve">Eksikler / riskler</t>
  </si>
  <si>
    <t xml:space="preserve">Teknik (1-5)</t>
  </si>
  <si>
    <t xml:space="preserve">Deneyim (1-5)</t>
  </si>
  <si>
    <t xml:space="preserve">Dil (1-5)</t>
  </si>
  <si>
    <t xml:space="preserve">Sektör (1-5)</t>
  </si>
  <si>
    <t xml:space="preserve">Lokasyon (1-5)</t>
  </si>
  <si>
    <t xml:space="preserve">Maaş/Kariyer (1-5)</t>
  </si>
  <si>
    <t xml:space="preserve">Önerilen aksiyon</t>
  </si>
  <si>
    <t xml:space="preserve">Sıralama skoru (açık ilanlar önce)</t>
  </si>
  <si>
    <t xml:space="preserve">Doğrulama kanıtı</t>
  </si>
  <si>
    <t xml:space="preserve">Yedek link</t>
  </si>
  <si>
    <t xml:space="preserve">KARİYER PORTALI – önce buradan pozisyon adını ara</t>
  </si>
  <si>
    <t xml:space="preserve">PALFINGER AG</t>
  </si>
  <si>
    <t xml:space="preserve">Infrastructure Operations Manager (m/f/d)</t>
  </si>
  <si>
    <t xml:space="preserve">Bergheim (+Wien)</t>
  </si>
  <si>
    <t xml:space="preserve">~15 dk</t>
  </si>
  <si>
    <t xml:space="preserve">IT Operasyon Yönetimi</t>
  </si>
  <si>
    <t xml:space="preserve">—</t>
  </si>
  <si>
    <t xml:space="preserve">Senior</t>
  </si>
  <si>
    <t xml:space="preserve">belirtilmedi</t>
  </si>
  <si>
    <t xml:space="preserve">AÇIK OLABİLİR – linki kontrol et</t>
  </si>
  <si>
    <t xml:space="preserve">tarih yok</t>
  </si>
  <si>
    <t xml:space="preserve">İşveren sitesi (ilan sayfası)</t>
  </si>
  <si>
    <t xml:space="preserve">https://www.palfinger.com/en-mx/career/jobs/infrastructure-operations-manager-m/f/d_k_876428</t>
  </si>
  <si>
    <t xml:space="preserve">Global ICT sistemlerinin erişilebilirlik &amp; performansı; eskalasyon yönetimi; dokümantasyon; proje yönetimi</t>
  </si>
  <si>
    <t xml:space="preserve">Global/çok lokasyonlu IT operasyonu; ekip ve proje yönetimi; İngilizce</t>
  </si>
  <si>
    <t xml:space="preserve">Seyahat (~%20) olabilir</t>
  </si>
  <si>
    <t xml:space="preserve">EN ÖNCELİKLİ – hemen başvur</t>
  </si>
  <si>
    <t xml:space="preserve">Tek indeksli URL Palfinger'in en-mx sürümü (aynı global ilan); açılmazsa jobs.palfinger.com'da başlığı arat</t>
  </si>
  <si>
    <t xml:space="preserve">https://jobs.palfinger.com/en-us</t>
  </si>
  <si>
    <t xml:space="preserve">Wüstenrot Gruppe</t>
  </si>
  <si>
    <t xml:space="preserve">Information Security Manager:in (m/w/d)</t>
  </si>
  <si>
    <t xml:space="preserve">Salzburg / Wien</t>
  </si>
  <si>
    <t xml:space="preserve">≤20 dk</t>
  </si>
  <si>
    <t xml:space="preserve">ISMS / GRC</t>
  </si>
  <si>
    <t xml:space="preserve">tarih yok (2023'te de yayımlanmıştı)</t>
  </si>
  <si>
    <t xml:space="preserve">https://www.wuestenrot.at/de/ueber-uns/karriere/offene-stellen/information-security-manager-in-m-w-d.html</t>
  </si>
  <si>
    <t xml:space="preserve">ISMS geliştirme; risk analizi &amp; BIA; TOM; politikalar; farkındalık; CISSP/CISM/ISO 27001 LI/LA avantaj; finans sektörü tercihen; DORA + EBA/EIOPA bilgisi; ab €55.000</t>
  </si>
  <si>
    <t xml:space="preserve">Birebir ISO 27001 ISMS yönetimi</t>
  </si>
  <si>
    <t xml:space="preserve">Finans/sigorta regülasyonu; Almanca</t>
  </si>
  <si>
    <t xml:space="preserve">Hemen başvur</t>
  </si>
  <si>
    <t xml:space="preserve">Wüstenrot sitesinde indeksli ve açık olarak tanımlanıyor</t>
  </si>
  <si>
    <t xml:space="preserve">https://www.wuestenrot.at/de/ueber-uns/karriere/offene-stellen.html</t>
  </si>
  <si>
    <t xml:space="preserve">Insight Assurance</t>
  </si>
  <si>
    <t xml:space="preserve">ISO 27001 Senior Auditor – EMEA (remote)</t>
  </si>
  <si>
    <t xml:space="preserve">Remote (EMEA)</t>
  </si>
  <si>
    <t xml:space="preserve">remote</t>
  </si>
  <si>
    <t xml:space="preserve">Cyber Security – ISMS / Denetim</t>
  </si>
  <si>
    <t xml:space="preserve">https://job-boards.greenhouse.io/insightassurance/jobs/5032616008</t>
  </si>
  <si>
    <t xml:space="preserve">ISO 27001 denetimlerini planlama/yürütme/raporlama; junior denetçilere mentorluk; ISO 27001 LA/LI tercih</t>
  </si>
  <si>
    <t xml:space="preserve">5 yıl ISMS + iç denetçi + ekip liderliği</t>
  </si>
  <si>
    <t xml:space="preserve">Lead Auditor sertifikası; dış denetim deneyimi yok</t>
  </si>
  <si>
    <t xml:space="preserve">LA sertifikasıyla güçlü aday</t>
  </si>
  <si>
    <t xml:space="preserve">Greenhouse ilanı indeksli; bir kaynak Panama hibrit diyor – kontrol et</t>
  </si>
  <si>
    <t xml:space="preserve">https://job-boards.greenhouse.io/insightassurance</t>
  </si>
  <si>
    <t xml:space="preserve">IT Project Manager (ICT Infrastructure)</t>
  </si>
  <si>
    <t xml:space="preserve">Bergheim</t>
  </si>
  <si>
    <t xml:space="preserve">IT Proje Yönetimi</t>
  </si>
  <si>
    <t xml:space="preserve">https://www.palfinger.com/en-us/career/jobs/it-project-manager-w/m/d_k_1736785</t>
  </si>
  <si>
    <t xml:space="preserve">ICT altyapı projelerinin planlama, uygulama ve optimizasyonu</t>
  </si>
  <si>
    <t xml:space="preserve">4 yıl Senior IT Project Responsible (bütçe, risk, tedarikçi)</t>
  </si>
  <si>
    <t xml:space="preserve">PMP/PRINCE2 sertifikası yok</t>
  </si>
  <si>
    <t xml:space="preserve">Başvur</t>
  </si>
  <si>
    <t xml:space="preserve">Palfinger ilan sayfası indeksli; altyapı, güvenlik ve kimlik yönetimi projeleri</t>
  </si>
  <si>
    <t xml:space="preserve">Red Bull GmbH</t>
  </si>
  <si>
    <t xml:space="preserve">Service Manager – Server &amp; Cloud Security</t>
  </si>
  <si>
    <t xml:space="preserve">Elsbethen</t>
  </si>
  <si>
    <t xml:space="preserve">IT Güvenlik / Servis Yönetimi</t>
  </si>
  <si>
    <t xml:space="preserve">Haziran 2026</t>
  </si>
  <si>
    <t xml:space="preserve">https://jobs.smartrecruiters.com/RedBull/744000131403389-service-manager-server-cloud-security</t>
  </si>
  <si>
    <t xml:space="preserve">Server &amp; multi-cloud güvenlik servislerinin uçtan uca sahipliği (Service Owner)</t>
  </si>
  <si>
    <t xml:space="preserve">Servis yönetimi (ITIL), sunucu altyapısı, güvenlik yönetişimi</t>
  </si>
  <si>
    <t xml:space="preserve">Cloud security (Azure/AWS) deneyimi CV'de yok</t>
  </si>
  <si>
    <t xml:space="preserve">Başvur; cloud eksiğini AZ-500/AZ-104 planıyla kapat</t>
  </si>
  <si>
    <t xml:space="preserve">Red Bull'un SmartRecruiters ilanı birebir indeksli</t>
  </si>
  <si>
    <t xml:space="preserve">https://jobs.redbull.com</t>
  </si>
  <si>
    <t xml:space="preserve">Experte:in Information Security (m/w/d)</t>
  </si>
  <si>
    <t xml:space="preserve">Cyber Security – ISMS / GRC</t>
  </si>
  <si>
    <t xml:space="preserve">https://www.wuestenrot.at/de/ueber-uns/karriere/offene-stellen/experte-in-information-security-m-w-d.html</t>
  </si>
  <si>
    <t xml:space="preserve">Bilgi güvenliği uzmanlığı (detaylar ilan sayfasında)</t>
  </si>
  <si>
    <t xml:space="preserve">ISO 27001 ISMS + risk yönetimi</t>
  </si>
  <si>
    <t xml:space="preserve">Finans regülasyonu (DORA)</t>
  </si>
  <si>
    <t xml:space="preserve">Başvur – ISM ilanıyla birlikte</t>
  </si>
  <si>
    <t xml:space="preserve">Yeniden kontrolde bulundu; Wüstenrot sitesinde indeksli</t>
  </si>
  <si>
    <t xml:space="preserve">Staff ISO 27001 Auditor – EMEA (remote)</t>
  </si>
  <si>
    <t xml:space="preserve">Mid</t>
  </si>
  <si>
    <t xml:space="preserve">tarih yok (Almanca ilandan daha yeni ID)</t>
  </si>
  <si>
    <t xml:space="preserve">https://job-boards.greenhouse.io/insightassurance/jobs/5032737008</t>
  </si>
  <si>
    <t xml:space="preserve">ISO 27001 denetim ve hazırlık projeleri (İngilizce, EMEA)</t>
  </si>
  <si>
    <t xml:space="preserve">ISO 27001 iç denetçi, ISMS implementasyonu</t>
  </si>
  <si>
    <t xml:space="preserve">ISO 27001 Lead Auditor sertifikası yok</t>
  </si>
  <si>
    <t xml:space="preserve">Başvur – İngilizce, remote</t>
  </si>
  <si>
    <t xml:space="preserve">Greenhouse ilanı indeksli</t>
  </si>
  <si>
    <t xml:space="preserve">KERN engineering careers (müşteri firma)</t>
  </si>
  <si>
    <t xml:space="preserve">Information Security Consultant / Projektleitung Informationssicherheit</t>
  </si>
  <si>
    <t xml:space="preserve">Salzburg (+Graz, Klagenfurt, Wels, Wien)</t>
  </si>
  <si>
    <t xml:space="preserve">Cyber Security – ISMS Danışmanlık</t>
  </si>
  <si>
    <t xml:space="preserve">€4.800–5.700/ay</t>
  </si>
  <si>
    <t xml:space="preserve">Aggregator kopyası</t>
  </si>
  <si>
    <t xml:space="preserve">https://www.it-career.at/68428/0/Information-Security-Consultant-(w-m-d)</t>
  </si>
  <si>
    <t xml:space="preserve">4+ yıl bilgi güvenliği danışmanlığı; ISO 2700x + NIS2; akıcı Almanca &amp; İngilizce; müşteri odaklılık</t>
  </si>
  <si>
    <t xml:space="preserve">5 yıl ISMS + proje yönetimi – birebir</t>
  </si>
  <si>
    <t xml:space="preserve">Danışmanlık Almancası</t>
  </si>
  <si>
    <t xml:space="preserve">Hemen başvur (KERN danışmanıyla iletişim)</t>
  </si>
  <si>
    <t xml:space="preserve">it-career.at kopyası; iletişim c.wieland@kern-partner.at</t>
  </si>
  <si>
    <t xml:space="preserve">https://www.kern-partner.at/jobs.html</t>
  </si>
  <si>
    <t xml:space="preserve">Senoplast Klepsch &amp; Co GmbH</t>
  </si>
  <si>
    <t xml:space="preserve">IT Operations &amp; Security Manager (m/w/d)</t>
  </si>
  <si>
    <t xml:space="preserve">Piesendorf (Pinzgau)</t>
  </si>
  <si>
    <t xml:space="preserve">75–90 dk</t>
  </si>
  <si>
    <t xml:space="preserve">IT Yönetimi / Güvenlik</t>
  </si>
  <si>
    <t xml:space="preserve">GÜNCEL (tarih teyitli)</t>
  </si>
  <si>
    <t xml:space="preserve">27.08.2026</t>
  </si>
  <si>
    <t xml:space="preserve">Firma ilan listesi (ilan burada listeleniyor)</t>
  </si>
  <si>
    <t xml:space="preserve">https://www.karriere.at/jobs/senoplast</t>
  </si>
  <si>
    <t xml:space="preserve">IT Operations Management; güvenlik bilgi yönetimi; ITIL (Incident/Problem/Change); dış güvenlik sağlayıcılarının yönetimi</t>
  </si>
  <si>
    <t xml:space="preserve">Birebir: IT Ops yönetimi + ISMS (ISO 27001) + ITIL sertifikası + tedarikçi yönetimi</t>
  </si>
  <si>
    <t xml:space="preserve">Uzak (taşınma/hibrit sorulmalı); Almanca ilan</t>
  </si>
  <si>
    <t xml:space="preserve">Başvur; hibrit/home-office oranını sor</t>
  </si>
  <si>
    <t xml:space="preserve">Yayın tarihi 27.08.2026 görüldü; doğrudan ilan URL'si indekste yok, karriere.at Senoplast ilan listesinde</t>
  </si>
  <si>
    <t xml:space="preserve">TECHSEARCH (müşteri: ~200 çalışanlı Salzburg firması)</t>
  </si>
  <si>
    <t xml:space="preserve">IT-Teamleiter:in</t>
  </si>
  <si>
    <t xml:space="preserve">Salzburg Stadt</t>
  </si>
  <si>
    <t xml:space="preserve">IT Yönetimi</t>
  </si>
  <si>
    <t xml:space="preserve">Lead</t>
  </si>
  <si>
    <t xml:space="preserve">€5.500–7.200/ay</t>
  </si>
  <si>
    <t xml:space="preserve">~Haz–Tem 2026 (karriere.at #7840112)</t>
  </si>
  <si>
    <t xml:space="preserve">https://www.techsearch.at/jobs/269996-SPTS/it-team-leiter-w-m-d</t>
  </si>
  <si>
    <t xml:space="preserve">5 kişilik altyapı &amp; destek ekibi; IT süreç/proje; M365 geçişi ve cloud stratejisi; MS client/server, ağ, DB, IT-security, M365 &amp; Azure; güçlü proje yönetimi</t>
  </si>
  <si>
    <t xml:space="preserve">Inditex IT Manager: ekip + operasyon + bütçe + tedarikçi yönetimi; AD/Windows Server</t>
  </si>
  <si>
    <t xml:space="preserve">İlan Almanca; müşteri firma gizli; Almanca iletişim gerekir</t>
  </si>
  <si>
    <t xml:space="preserve">TECHSEARCH danışmanını ara; Almanca kısa CV + İngilizce görüşme talebi</t>
  </si>
  <si>
    <t xml:space="preserve">Her iki URL de arama sonuçlarında birebir çıktı</t>
  </si>
  <si>
    <t xml:space="preserve">https://www.karriere.at/jobs/7840112</t>
  </si>
  <si>
    <t xml:space="preserve">https://www.karriere.at/f/techsearch</t>
  </si>
  <si>
    <t xml:space="preserve">Cyber Security Engineer (f/m/d)</t>
  </si>
  <si>
    <t xml:space="preserve">IT Güvenlik</t>
  </si>
  <si>
    <t xml:space="preserve">Eylül 2026 (yeniden yayın)</t>
  </si>
  <si>
    <t xml:space="preserve">İş portalı (ilan sayfası)</t>
  </si>
  <si>
    <t xml:space="preserve">https://www.karriere.at/jobs/7762442</t>
  </si>
  <si>
    <t xml:space="preserve">5+ yıl kurumsal siber güvenlik; kimlik/cloud/ağ güvenliği; Zero Trust; AD, Entra ID, Azure security, PAM</t>
  </si>
  <si>
    <t xml:space="preserve">Active Directory, ağ güvenliği, güvenlik yönetişimi</t>
  </si>
  <si>
    <t xml:space="preserve">Entra ID / Azure / Zero Trust uygulama deneyimi eksik</t>
  </si>
  <si>
    <t xml:space="preserve">Başvur; AZ-500 hedefini belirt</t>
  </si>
  <si>
    <t xml:space="preserve">karriere.at + Palfinger sitesi + Eylül 2026 LinkedIn kopyası</t>
  </si>
  <si>
    <t xml:space="preserve">https://www.palfinger.com/worldwide/en/career/jobs/cyber-security-engineer--f-m-d-_8115.html</t>
  </si>
  <si>
    <t xml:space="preserve">SKIDATA GmbH</t>
  </si>
  <si>
    <t xml:space="preserve">Global Service Performance Manager</t>
  </si>
  <si>
    <t xml:space="preserve">Grödig</t>
  </si>
  <si>
    <t xml:space="preserve">Servis Yönetimi</t>
  </si>
  <si>
    <t xml:space="preserve">https://www.skidata.com/jobs/career/global-service-performance-manager-49574-en_us</t>
  </si>
  <si>
    <t xml:space="preserve">Global servis ekibinin performans yönetimi, KPI</t>
  </si>
  <si>
    <t xml:space="preserve">ITIL, servis yönetimi, KPI takibi</t>
  </si>
  <si>
    <t xml:space="preserve">Ürün servisi (otopark/erişim sistemleri) alanı</t>
  </si>
  <si>
    <t xml:space="preserve">SKIDATA kariyer sitesinde indeksli (önceki link aggregator'dü)</t>
  </si>
  <si>
    <t xml:space="preserve">http://www.skidata.com/en/career.html</t>
  </si>
  <si>
    <t xml:space="preserve">Service Manager – Security Incident Management</t>
  </si>
  <si>
    <t xml:space="preserve">tarih yok (ref28783)</t>
  </si>
  <si>
    <t xml:space="preserve">https://jobs.redbull.com/at-de/elsbethen-service-manager-security-incident-management--ref28783m?lang=en</t>
  </si>
  <si>
    <t xml:space="preserve">Global Security Incident Management servisi; KPI; SIEM/SOAR; EN AZ 3 YIL security incident response / MDR / SOC deneyimi</t>
  </si>
  <si>
    <t xml:space="preserve">ISMS olay yönetimi, ITIL incident süreçleri, politika &amp; koordinasyon</t>
  </si>
  <si>
    <t xml:space="preserve">3+ yıl incident response/SOC deneyimi şartı karşılanmıyor; SIEM/SOAR yok</t>
  </si>
  <si>
    <t xml:space="preserve">Başvur (ilan açıksa)</t>
  </si>
  <si>
    <t xml:space="preserve">Red Bull AT ilan sayfası birebir indeksli</t>
  </si>
  <si>
    <t xml:space="preserve">Infrastructure Architect</t>
  </si>
  <si>
    <t xml:space="preserve">Altyapı</t>
  </si>
  <si>
    <t xml:space="preserve">Haziran 2026 sonrası (SmartRecruiters ID)</t>
  </si>
  <si>
    <t xml:space="preserve">https://jobs.smartrecruiters.com/RedBull/744000132364914-infrastructure-architect</t>
  </si>
  <si>
    <t xml:space="preserve">Altyapı servislerinde veri entegrasyonu; felaket kurtarma (DR) stratejileri</t>
  </si>
  <si>
    <t xml:space="preserve">Backup &amp; DR, RPO/RTO iyileştirme (Inditex)</t>
  </si>
  <si>
    <t xml:space="preserve">Mimar seviyesi, cloud mimarisi</t>
  </si>
  <si>
    <t xml:space="preserve">SmartRecruiters ID'si Haziran 2026 ilanından daha yeni</t>
  </si>
  <si>
    <t xml:space="preserve">Hammerer Aluminium Industries (HAI)</t>
  </si>
  <si>
    <t xml:space="preserve">Information Security &amp; Compliance Specialist – NIS-2 / TISAX (Cyber Security Koordinator)</t>
  </si>
  <si>
    <t xml:space="preserve">Ranshofen (OÖ)</t>
  </si>
  <si>
    <t xml:space="preserve">~60 dk</t>
  </si>
  <si>
    <t xml:space="preserve">Mid/Senior</t>
  </si>
  <si>
    <t xml:space="preserve">ab €47.600 (jr) / €63.000 (mid)</t>
  </si>
  <si>
    <t xml:space="preserve">https://hai.jobs/professionals/category/it/4cf6fa25-934c-58f4-a639-8b41841f3043</t>
  </si>
  <si>
    <t xml:space="preserve">NIS-2, TISAX, ISO standartları; raporlama yükümlülükleri; TOM; TISAX denetimleri</t>
  </si>
  <si>
    <t xml:space="preserve">ISO 27001 implementasyonu + iç denetçi – birebir</t>
  </si>
  <si>
    <t xml:space="preserve">TISAX/NIS-2; ~60 dk yol</t>
  </si>
  <si>
    <t xml:space="preserve">hai.jobs IT listesinde; DİKKAT: ORF'a göre HAI grup genelinde 250 kişilik iş kesintisi yapıyor</t>
  </si>
  <si>
    <t xml:space="preserve">https://hai.jobs/</t>
  </si>
  <si>
    <t xml:space="preserve">KTM AG</t>
  </si>
  <si>
    <t xml:space="preserve">Head of IT Infrastructure &amp; Operations</t>
  </si>
  <si>
    <t xml:space="preserve">Mattighofen (OÖ)</t>
  </si>
  <si>
    <t xml:space="preserve">~50 dk</t>
  </si>
  <si>
    <t xml:space="preserve">Head</t>
  </si>
  <si>
    <t xml:space="preserve">ab €81.500/yıl</t>
  </si>
  <si>
    <t xml:space="preserve">~May 2026 (karriere.at #7805765; LinkedIn kopyası daha yeni)</t>
  </si>
  <si>
    <t xml:space="preserve">https://jobs-at.ktm.com/Job/4319/Head-of-IT-Infrastructure--Operations</t>
  </si>
  <si>
    <t xml:space="preserve">Birden fazla operasyon ekibi yönetimi; KPI/SLA/tedarikçi yönetimi; bütçe &amp; sözleşme sorumluluğu; IT &amp; güvenlik standartları</t>
  </si>
  <si>
    <t xml:space="preserve">15+ yıl; 200+ mağaza / 17.000 cihaz operasyonu; ISO 27001; tedarikçi &amp; bütçe</t>
  </si>
  <si>
    <t xml:space="preserve">‘Head’ unvanı yok; KTM 2024-25 yeniden yapılanma geçirdi; ~50 dk yol</t>
  </si>
  <si>
    <t xml:space="preserve">Hemen başvur; liderlik + ISMS vurgulu İngilizce CV</t>
  </si>
  <si>
    <t xml:space="preserve">KTM kariyer sitesi + karriere.at birebir indeksli</t>
  </si>
  <si>
    <t xml:space="preserve">https://www.karriere.at/jobs/7805765</t>
  </si>
  <si>
    <t xml:space="preserve">https://jobs.ktm.com/Jobs</t>
  </si>
  <si>
    <t xml:space="preserve">conova communications GmbH</t>
  </si>
  <si>
    <t xml:space="preserve">Senior Systems Engineer – Virtualisierung, Datensicherung &amp; Storage</t>
  </si>
  <si>
    <t xml:space="preserve">Salzburg-Maxglan</t>
  </si>
  <si>
    <t xml:space="preserve">≤15 dk</t>
  </si>
  <si>
    <t xml:space="preserve">Altyapı / Veri Merkezi</t>
  </si>
  <si>
    <t xml:space="preserve">min €65.000/yıl</t>
  </si>
  <si>
    <t xml:space="preserve">https://www.conova.com/karriere/</t>
  </si>
  <si>
    <t xml:space="preserve">Sanallaştırma, yedekleme, storage; 24/7 veri merkezi; min €65.000; %100'e kadar home office; başvuru: bewerbung@conova.com</t>
  </si>
  <si>
    <t xml:space="preserve">Hyper-V/Proxmox, backup &amp; DR, ISO 27001 ortamı</t>
  </si>
  <si>
    <t xml:space="preserve">VMware/enterprise storage derinliği</t>
  </si>
  <si>
    <t xml:space="preserve">Başvur (bewerbung@conova.com)</t>
  </si>
  <si>
    <t xml:space="preserve">İlan başlığı conova sitesinde hâlâ görünüyor; karriere.sn kopyası (#73353) eski</t>
  </si>
  <si>
    <t xml:space="preserve">x-tention Informationstechnologie GmbH</t>
  </si>
  <si>
    <t xml:space="preserve">Senior Cyber Security Consultant &amp; Project Manager (m/w/d)</t>
  </si>
  <si>
    <t xml:space="preserve">Salzburg Stadt (+diğer AT lokasyonları)</t>
  </si>
  <si>
    <t xml:space="preserve">Cyber Security – Danışmanlık / PM</t>
  </si>
  <si>
    <t xml:space="preserve">ab €65.000/yıl</t>
  </si>
  <si>
    <t xml:space="preserve">en yeni karriere.at numaralandırması (10.0M)</t>
  </si>
  <si>
    <t xml:space="preserve">https://x-tention.com/de-AT/job/senior-cyber-security-consultant-project-manager-mwd</t>
  </si>
  <si>
    <t xml:space="preserve">SIEM/SOC mimarili siber güvenlik çözümlerinin tasarımı ve fiyatlandırılması; ihaleler; müşteri sunumları; siber güvenlik projeleri yönetimi</t>
  </si>
  <si>
    <t xml:space="preserve">IT proje yönetimi (bütçe, risk, tedarikçi) + ISMS</t>
  </si>
  <si>
    <t xml:space="preserve">SIEM/SOC mimari derinliği; müşteriye Almanca sunum</t>
  </si>
  <si>
    <t xml:space="preserve">Başvur – proje yönetimi + güvenlik birleşimi güçlü</t>
  </si>
  <si>
    <t xml:space="preserve">x-tention sitesi + karriere.at; Graz/Klagenfurt/Salzburg/Wels/Wien hibrit</t>
  </si>
  <si>
    <t xml:space="preserve">https://www.karriere.at/jobs/10016338</t>
  </si>
  <si>
    <t xml:space="preserve">IT System Engineer (mwd)</t>
  </si>
  <si>
    <t xml:space="preserve">Altyapı / SysAdmin</t>
  </si>
  <si>
    <t xml:space="preserve">KV min €2.471/ay</t>
  </si>
  <si>
    <t xml:space="preserve">tarih yok (GSPM'den eski ID)</t>
  </si>
  <si>
    <t xml:space="preserve">https://www.skidata.com/jobs/career/it-system-engineer-mwd-40865-en_us</t>
  </si>
  <si>
    <t xml:space="preserve">Kurumsal IT sistem mühendisliği</t>
  </si>
  <si>
    <t xml:space="preserve">Windows Server, AD, sanallaştırma</t>
  </si>
  <si>
    <t xml:space="preserve">Maaş/seviye düşük</t>
  </si>
  <si>
    <t xml:space="preserve">Başvur (uluslararası ortam)</t>
  </si>
  <si>
    <t xml:space="preserve">SKIDATA kariyer sitesinde indeksli</t>
  </si>
  <si>
    <t xml:space="preserve">ACP Gruppe</t>
  </si>
  <si>
    <t xml:space="preserve">Systemadministrator:in (Windows) – müşteri lokasyonunda</t>
  </si>
  <si>
    <t xml:space="preserve">Salzburg</t>
  </si>
  <si>
    <t xml:space="preserve">02.06.2026</t>
  </si>
  <si>
    <t xml:space="preserve">https://www.karriere.at/jobs/7818677</t>
  </si>
  <si>
    <t xml:space="preserve">Modern Windows server &amp; client altyapısından teknik sorumluluk; yüksek erişilebilirlik; müşteri/service desk muhatabı</t>
  </si>
  <si>
    <t xml:space="preserve">Windows Server, AD, file server, operasyon</t>
  </si>
  <si>
    <t xml:space="preserve">Müşteri tarafında Almanca</t>
  </si>
  <si>
    <t xml:space="preserve">02.06.2026'dan beri açık (~4 ay – kontrol et)</t>
  </si>
  <si>
    <t xml:space="preserve">https://karriere.acp.at/salzburg</t>
  </si>
  <si>
    <t xml:space="preserve">Staff Auditor ISO 27001 (Almanca konuşan, Avrupa remote)</t>
  </si>
  <si>
    <t xml:space="preserve">Remote (Avrupa)</t>
  </si>
  <si>
    <t xml:space="preserve">ISMS / Denetim</t>
  </si>
  <si>
    <t xml:space="preserve">https://job-boards.greenhouse.io/insightassurance/jobs/4887871008</t>
  </si>
  <si>
    <t xml:space="preserve">ISO 27001 / SOC 2 denetimleri</t>
  </si>
  <si>
    <t xml:space="preserve">ISO 27001 iç denetim</t>
  </si>
  <si>
    <t xml:space="preserve">Lead Auditor sertifikası; SOC 2</t>
  </si>
  <si>
    <t xml:space="preserve">LA sertifikası sonrası başvur</t>
  </si>
  <si>
    <t xml:space="preserve">KPMG Österreich</t>
  </si>
  <si>
    <t xml:space="preserve">Junior/Senior Spezialist:in Cybersecurity Beratung</t>
  </si>
  <si>
    <t xml:space="preserve">Cyber Security – Danışmanlık</t>
  </si>
  <si>
    <t xml:space="preserve">https://bewerbung.kpmg.at/stellenausschreiben/56</t>
  </si>
  <si>
    <t xml:space="preserve">Siber güvenlik danışmanlığı</t>
  </si>
  <si>
    <t xml:space="preserve">ISO 27001, denetim, risk</t>
  </si>
  <si>
    <t xml:space="preserve">Big4 danışmanlık Almancası</t>
  </si>
  <si>
    <t xml:space="preserve">KPMG başvuru portalında indeksli (önceki link aggregator'dü)</t>
  </si>
  <si>
    <t xml:space="preserve">https://kpmg.com/at/de/careers.html</t>
  </si>
  <si>
    <t xml:space="preserve">Lam Research Salzburg</t>
  </si>
  <si>
    <t xml:space="preserve">IT Support / Systems Administrator (all genders)</t>
  </si>
  <si>
    <t xml:space="preserve">Salzburg / Eugendorf</t>
  </si>
  <si>
    <t xml:space="preserve">~20 dk</t>
  </si>
  <si>
    <t xml:space="preserve">https://careers.lamresearch.com/job/Salzburg-IT-Support-Systems-Administrator-(all-genders)/1198235600/</t>
  </si>
  <si>
    <t xml:space="preserve">Kullanıcı desteği + sistem yönetimi; mükemmel İngilizce ve Almanca; müşteri odaklılık</t>
  </si>
  <si>
    <t xml:space="preserve">Sistem yönetimi, destek, ABD'li global şirket ortamı</t>
  </si>
  <si>
    <t xml:space="preserve">Seviye profile göre düşük</t>
  </si>
  <si>
    <t xml:space="preserve">Başvur – global firma, içeride yükselme</t>
  </si>
  <si>
    <t xml:space="preserve">Lam Research kariyer sitesinde indeksli</t>
  </si>
  <si>
    <t xml:space="preserve">https://careers.lamresearch.com</t>
  </si>
  <si>
    <t xml:space="preserve">BMW Austria GmbH</t>
  </si>
  <si>
    <t xml:space="preserve">Specialist Information Security &amp; OPRisk Management</t>
  </si>
  <si>
    <t xml:space="preserve">ab €3.300/ay</t>
  </si>
  <si>
    <t xml:space="preserve">https://www.bmwgroup.jobs/en/jobfinder/job-description-copy.129634.html</t>
  </si>
  <si>
    <t xml:space="preserve">Operasyonel risk, IT risk ve bilgi güvenliği yöntemleri; kontrol değerlendirmeleri; raporlama</t>
  </si>
  <si>
    <t xml:space="preserve">ISO 27001, risk yönetimi</t>
  </si>
  <si>
    <t xml:space="preserve">Finansal OPRisk alanı</t>
  </si>
  <si>
    <t xml:space="preserve">BMW Group kariyer sitesinde indeksli (önceki link aggregator'dü)</t>
  </si>
  <si>
    <t xml:space="preserve">https://www.bmwgroup.jobs/at/en.html</t>
  </si>
  <si>
    <t xml:space="preserve">Teamlead Application Management Operations</t>
  </si>
  <si>
    <t xml:space="preserve">03.06.2026</t>
  </si>
  <si>
    <t xml:space="preserve">https://www.palfinger.com/us/en/career/jobs/teamlead-application-management-operations--m-f-d-_6863.html</t>
  </si>
  <si>
    <t xml:space="preserve">Ekip liderliği; uygulama operasyonu; akıcı İngilizce; %20'ye kadar seyahat</t>
  </si>
  <si>
    <t xml:space="preserve">Ekip liderliği, IT operasyonu</t>
  </si>
  <si>
    <t xml:space="preserve">SAP lojistik modülleri (MM/PP/WM) uygulama bilgisi isteniyor – CV'de yok</t>
  </si>
  <si>
    <t xml:space="preserve">Yayın tarihi 03.06.2026</t>
  </si>
  <si>
    <t xml:space="preserve">GOiNTERIM GmbH</t>
  </si>
  <si>
    <t xml:space="preserve">IT-Leiter (Interim)</t>
  </si>
  <si>
    <t xml:space="preserve">Salzburg + diğer AT bölgeleri</t>
  </si>
  <si>
    <t xml:space="preserve">ab €120.000/yıl</t>
  </si>
  <si>
    <t xml:space="preserve">Eylül 2026 (~5 gün önce)</t>
  </si>
  <si>
    <t xml:space="preserve">https://www.karriere.at/f/gointerim</t>
  </si>
  <si>
    <t xml:space="preserve">IT altyapısı, uygulamalar (ERP, BI) ve proje yönetiminden tam sorumluluk; IT Ops &amp; Infra + ERP implementasyon deneyimi; uluslararası sorumluluk</t>
  </si>
  <si>
    <t xml:space="preserve">IT yönetimi, altyapı, projeler</t>
  </si>
  <si>
    <t xml:space="preserve">ERP implementasyon deneyimi</t>
  </si>
  <si>
    <t xml:space="preserve">GOiNTERIM'e interim profil gönder</t>
  </si>
  <si>
    <t xml:space="preserve">karriere.at'te ~5 gün önce sponsorlu yayın</t>
  </si>
  <si>
    <t xml:space="preserve">grinnberg (müşteri firma)</t>
  </si>
  <si>
    <t xml:space="preserve">(Inhouse) Senior Netzwerkadministrator (w/m/x)</t>
  </si>
  <si>
    <t xml:space="preserve">Raum Salzburg</t>
  </si>
  <si>
    <t xml:space="preserve">~20–30 dk</t>
  </si>
  <si>
    <t xml:space="preserve">Network</t>
  </si>
  <si>
    <t xml:space="preserve">https://www.grinnberg.de/it-job/job-inhouse-senior-netzwerkadministrator-w-m-x-im-raum-salzburg-id21081</t>
  </si>
  <si>
    <t xml:space="preserve">5+ yıl ağ yönetimi</t>
  </si>
  <si>
    <t xml:space="preserve">Ağ altyapısı yönetimi</t>
  </si>
  <si>
    <t xml:space="preserve">Ağ sertifikası (CCNA/CCNP) yok</t>
  </si>
  <si>
    <t xml:space="preserve">grinnberg'e başvur</t>
  </si>
  <si>
    <t xml:space="preserve">grinnberg sitesinde indeksli; başvuru meinebewerbung@grinnberg.de</t>
  </si>
  <si>
    <t xml:space="preserve">https://www.grinnberg.de/it-jobs</t>
  </si>
  <si>
    <t xml:space="preserve">Salzburg AG</t>
  </si>
  <si>
    <t xml:space="preserve">Firewall &amp; Network Security Engineer (all genders)</t>
  </si>
  <si>
    <t xml:space="preserve">Cyber Security – Ağ Güvenliği</t>
  </si>
  <si>
    <t xml:space="preserve">min €3.927,14/ay</t>
  </si>
  <si>
    <t xml:space="preserve">en yeni Salzburg AG ilan no (j2688)</t>
  </si>
  <si>
    <t xml:space="preserve">https://karriere.salzburg-ag.at/Firewall-Network-Security-Engineer-all-genders-de-j2688.html</t>
  </si>
  <si>
    <t xml:space="preserve">Firewall değişiklikleri (policy, NAT, VPN, segmentasyon); kalite güvencesi ve dokümantasyon; uyum</t>
  </si>
  <si>
    <t xml:space="preserve">Firewall yönetimi, VPN, VLAN</t>
  </si>
  <si>
    <t xml:space="preserve">Vendor derinliği</t>
  </si>
  <si>
    <t xml:space="preserve">Salzburg AG sitesinde indeksli (önceki link aggregator'dü)</t>
  </si>
  <si>
    <t xml:space="preserve">https://karriere.salzburg-ag.at/stellenangebote.html</t>
  </si>
  <si>
    <t xml:space="preserve">solbytech GmbH</t>
  </si>
  <si>
    <t xml:space="preserve">IT-Security Specialist (m/w/d, 30 saat+)</t>
  </si>
  <si>
    <t xml:space="preserve">Puch bei Hallein (+remote)</t>
  </si>
  <si>
    <t xml:space="preserve">Cyber Security – Uzman</t>
  </si>
  <si>
    <t xml:space="preserve">https://solbytech.at/unternehmen/jobs/</t>
  </si>
  <si>
    <t xml:space="preserve">Windows/Linux güvenlik mimarisi; pentest &amp; denetim desteği; AD hardening; log analizi ve olay müdahalesi; ISO 27001 danışmanlığı</t>
  </si>
  <si>
    <t xml:space="preserve">AD, Windows, ISO 27001</t>
  </si>
  <si>
    <t xml:space="preserve">Linux, pentest</t>
  </si>
  <si>
    <t xml:space="preserve">Başvur (Salzburg'lu güvenlik firması)</t>
  </si>
  <si>
    <t xml:space="preserve">İlan solbytech'in iş sayfasında; firma yenilenebilir enerji dijitalleşmesi odaklı</t>
  </si>
  <si>
    <t xml:space="preserve">SPAR ICS</t>
  </si>
  <si>
    <t xml:space="preserve">Security Consultant – Vulnerability &amp; Exposure Management</t>
  </si>
  <si>
    <t xml:space="preserve">€50k (jr) / €70k (sr)</t>
  </si>
  <si>
    <t xml:space="preserve">https://www.spar-ics.com/de/career/offene-stellen-consulting</t>
  </si>
  <si>
    <t xml:space="preserve">Zafiyet yönetimi süreçleri; güvenlik süreç tasarımı ve eğitim</t>
  </si>
  <si>
    <t xml:space="preserve">Perakende IT + güvenlik politikaları + risk yönetimi</t>
  </si>
  <si>
    <t xml:space="preserve">Zafiyet tarayıcı (Tenable/Qualys) deneyimi</t>
  </si>
  <si>
    <t xml:space="preserve">Başvur – perakende geçmişi güçlü argüman</t>
  </si>
  <si>
    <t xml:space="preserve">SPAR ICS Consulting ilan listesinde görünüyor; doğrudan URL indekste yok</t>
  </si>
  <si>
    <t xml:space="preserve">https://www.spar-ics.com/en/career/work-ics/open-positions-all</t>
  </si>
  <si>
    <t xml:space="preserve">DORIDA GmbH</t>
  </si>
  <si>
    <t xml:space="preserve">DORA Consultant (m/w/d)</t>
  </si>
  <si>
    <t xml:space="preserve">Cyber Security – GRC Danışmanlık</t>
  </si>
  <si>
    <t xml:space="preserve">€95.000–110.000/yıl</t>
  </si>
  <si>
    <t xml:space="preserve">https://www.dorida.at/karriere/</t>
  </si>
  <si>
    <t xml:space="preserve">Finans sektöründe küçük IT organizasyonlarında DORA uygulama deneyimi; geniş IT geçmişi (tercihen liderlik); ICT operasyonu; ICT framework/standartları</t>
  </si>
  <si>
    <t xml:space="preserve">ISO 27001, ITIL, iç denetim, BCM/DR</t>
  </si>
  <si>
    <t xml:space="preserve">Finans sektörü / DORA pratiği yok</t>
  </si>
  <si>
    <t xml:space="preserve">Açık başvuru gönder</t>
  </si>
  <si>
    <t xml:space="preserve">DORIDA kariyer sayfasında</t>
  </si>
  <si>
    <t xml:space="preserve">Bankhaus Spängler</t>
  </si>
  <si>
    <t xml:space="preserve">Senior IT-Techniker:in</t>
  </si>
  <si>
    <t xml:space="preserve">https://www.spaengler.at/bankhaus/karriere/senior-it-technikerin-74/</t>
  </si>
  <si>
    <t xml:space="preserve">Kıdemli IT teknik destek/altyapı</t>
  </si>
  <si>
    <t xml:space="preserve">Altyapı operasyonu</t>
  </si>
  <si>
    <t xml:space="preserve">Almanca</t>
  </si>
  <si>
    <t xml:space="preserve">Opsiyonel</t>
  </si>
  <si>
    <t xml:space="preserve">Spängler sitesinde indeksli; karriere.at 1 açık Spängler ilanı gösteriyor</t>
  </si>
  <si>
    <t xml:space="preserve">https://www.spaengler.at/bankhaus/karriere/</t>
  </si>
  <si>
    <t xml:space="preserve">IT Operations Engineer</t>
  </si>
  <si>
    <t xml:space="preserve">IT Operasyon</t>
  </si>
  <si>
    <t xml:space="preserve">https://bewerbung.acp-gruppe.com/at/rx/906</t>
  </si>
  <si>
    <t xml:space="preserve">IT operasyon mühendisliği</t>
  </si>
  <si>
    <t xml:space="preserve">Operasyon yönetimi</t>
  </si>
  <si>
    <t xml:space="preserve">ACP başvuru portalında indeksli</t>
  </si>
  <si>
    <t xml:space="preserve">EV Group (EVG)</t>
  </si>
  <si>
    <t xml:space="preserve">IT Administrator (m/w/x) für Domain und Groupware Services</t>
  </si>
  <si>
    <t xml:space="preserve">St. Florian am Inn / Braunau / Linz</t>
  </si>
  <si>
    <t xml:space="preserve">60–75 dk</t>
  </si>
  <si>
    <t xml:space="preserve">https://www.evgroup.com/de/karriere/jobs/it-administrator-mwx-fuer-domain-und-groupware-services-1</t>
  </si>
  <si>
    <t xml:space="preserve">Domain (Active Directory) ve groupware servislerinin yönetimi</t>
  </si>
  <si>
    <t xml:space="preserve">Active Directory, Windows Server</t>
  </si>
  <si>
    <t xml:space="preserve">Groupware (Exchange) detayı CV'de yok; uzak lokasyon</t>
  </si>
  <si>
    <t xml:space="preserve">EVG kariyer sitesinde indeksli</t>
  </si>
  <si>
    <t xml:space="preserve">https://www.evgroup.com/de/karriere/arbeitsbereiche/information-technology</t>
  </si>
  <si>
    <t xml:space="preserve">NTS Netzwerk Telekom Service AG</t>
  </si>
  <si>
    <t xml:space="preserve">Senior Systems Engineer Network (m/w/d)</t>
  </si>
  <si>
    <t xml:space="preserve">min €65.000/yıl + şirket aracı</t>
  </si>
  <si>
    <t xml:space="preserve">karriere.at kopyası ~2025 başı – kontrol et</t>
  </si>
  <si>
    <t xml:space="preserve">https://www.nts.eu/de/job/senior-systems-engineer-network-m-w-d/</t>
  </si>
  <si>
    <t xml:space="preserve">Ağ, güvenlik ve UC altyapısı; routing, switching, WLAN, TCP/IP (CCNA veya eşdeğeri)</t>
  </si>
  <si>
    <t xml:space="preserve">Ağ + firewall</t>
  </si>
  <si>
    <t xml:space="preserve">Vendor sertifikaları</t>
  </si>
  <si>
    <t xml:space="preserve">NTS sitesinde indeksli</t>
  </si>
  <si>
    <t xml:space="preserve">https://www.nts.eu/de/job_city/salzburg-de/</t>
  </si>
  <si>
    <t xml:space="preserve">https://www.nts.eu/en/jobs/</t>
  </si>
  <si>
    <t xml:space="preserve">grinnberg (müşteri: krize dayanıklı firma)</t>
  </si>
  <si>
    <t xml:space="preserve">IT-Systemadministrator (m/w/d)</t>
  </si>
  <si>
    <t xml:space="preserve">https://www.grinnberg.de/it-job/job-it-job-als-systemadministrator-im-raum-salzburg-m-w-d-it-administrator-m-w-d-id21067</t>
  </si>
  <si>
    <t xml:space="preserve">IT altyapısı yönetimi</t>
  </si>
  <si>
    <t xml:space="preserve">Sistem yönetimi</t>
  </si>
  <si>
    <t xml:space="preserve">grinnberg sitesinde indeksli</t>
  </si>
  <si>
    <t xml:space="preserve">Sanitas GmbH</t>
  </si>
  <si>
    <t xml:space="preserve">IT-Systemspezialist/in für klinische Informationssysteme</t>
  </si>
  <si>
    <t xml:space="preserve">Salzburg veya Wien (remote mümkün)</t>
  </si>
  <si>
    <t xml:space="preserve">Sağlık IT</t>
  </si>
  <si>
    <t xml:space="preserve">ab €70.000/yıl</t>
  </si>
  <si>
    <t xml:space="preserve">https://www.sanitas.at/karriere/it-systemspezialistenin-fuer-klinische-informationssysteme-mwd</t>
  </si>
  <si>
    <t xml:space="preserve">Yazılım kurulumu, sistem izleme, otomasyon ajanları</t>
  </si>
  <si>
    <t xml:space="preserve">Sağlık IT (Acıbadem), izleme</t>
  </si>
  <si>
    <t xml:space="preserve">Scripting; lokasyonu doğrula</t>
  </si>
  <si>
    <t xml:space="preserve">Sanitas sitesinde indeksli; maaş önceki listede YANLIŞTI (€45k değil)</t>
  </si>
  <si>
    <t xml:space="preserve">Netzwerk Systems Engineer / Consultant</t>
  </si>
  <si>
    <t xml:space="preserve">https://bewerbung.acp-gruppe.com/at/rx/887</t>
  </si>
  <si>
    <t xml:space="preserve">Ağ sistemleri danışmanlık/mühendislik</t>
  </si>
  <si>
    <t xml:space="preserve">Ağ yönetimi</t>
  </si>
  <si>
    <t xml:space="preserve">Danışmanlık Almancası; vendor sertifikası</t>
  </si>
  <si>
    <t xml:space="preserve">Otto Austria Group GmbH</t>
  </si>
  <si>
    <t xml:space="preserve">Information Security Specialist – SIEM (Threat Detection &amp; Incident Response)</t>
  </si>
  <si>
    <t xml:space="preserve">Cyber Security – SIEM</t>
  </si>
  <si>
    <t xml:space="preserve">KV min €2.535/ay</t>
  </si>
  <si>
    <t xml:space="preserve">~Nis/May 2026, Temmuz 2026'da hâlâ listede</t>
  </si>
  <si>
    <t xml:space="preserve">https://www.ottogroup.com/en/careers/job/03573527/information-security-specialist-m-w-d-</t>
  </si>
  <si>
    <t xml:space="preserve">Modern SIEM sisteminin kurulumu/optimizasyonu; proaktif izleme; tehdit analizi</t>
  </si>
  <si>
    <t xml:space="preserve">ISMS; e-ticaret/perakende ortamı</t>
  </si>
  <si>
    <t xml:space="preserve">SIEM (Splunk/Elastic/Sentinel/QRadar) yönetim deneyimi isteniyor – yok</t>
  </si>
  <si>
    <t xml:space="preserve">Otto Group kariyer sitesi + karriere.at</t>
  </si>
  <si>
    <t xml:space="preserve">https://www.karriere.at/jobs/7790918</t>
  </si>
  <si>
    <t xml:space="preserve">https://www.ottoaustriagroup.at/</t>
  </si>
  <si>
    <t xml:space="preserve">CANCOM Austria AG</t>
  </si>
  <si>
    <t xml:space="preserve">Presales Consultant Security</t>
  </si>
  <si>
    <t xml:space="preserve">Cyber Security – Presales</t>
  </si>
  <si>
    <t xml:space="preserve">min €48.400/yıl (KV)</t>
  </si>
  <si>
    <t xml:space="preserve">https://jobs.cancom.com/</t>
  </si>
  <si>
    <t xml:space="preserve">Güvenlik çözümlerinin satış öncesi danışmanlığı</t>
  </si>
  <si>
    <t xml:space="preserve">Güvenlik + tedarikçi yönetimi</t>
  </si>
  <si>
    <t xml:space="preserve">Presales rolü; müşteriye Almanca</t>
  </si>
  <si>
    <t xml:space="preserve">CANCOM portalında Leonding/Hart + Salzburg için listeleniyor; min €48.400</t>
  </si>
  <si>
    <t xml:space="preserve">Messezentrum Salzburg GmbH</t>
  </si>
  <si>
    <t xml:space="preserve">IT (Data Mgmt, IT-PM, Application Mgmt – Jira/Confluence/MS Dynamics)</t>
  </si>
  <si>
    <t xml:space="preserve">IT Proje / Uygulama</t>
  </si>
  <si>
    <t xml:space="preserve">€3.500–4.200/ay</t>
  </si>
  <si>
    <t xml:space="preserve">~10.09.2026 (tek kaynak)</t>
  </si>
  <si>
    <t xml:space="preserve">https://messezentrum-salzburg-gmbh.jobs.personio.de/?language=de</t>
  </si>
  <si>
    <t xml:space="preserve">Veri yönetimi &amp; analiz; IT proje yönetimi; Jira/Confluence/MS Dynamics</t>
  </si>
  <si>
    <t xml:space="preserve">IT proje yönetimi</t>
  </si>
  <si>
    <t xml:space="preserve">Jira/Dynamics</t>
  </si>
  <si>
    <t xml:space="preserve">Başvur (güncel ilan)</t>
  </si>
  <si>
    <t xml:space="preserve">İlk aramada 10.09.2026 görüldü; ikinci aramada Personio listesinde teyit edilemedi – kontrol et</t>
  </si>
  <si>
    <t xml:space="preserve">CANCOM Austria AG (eski Kapsch BusinessCom)</t>
  </si>
  <si>
    <t xml:space="preserve">System Engineer Network/Security (Junior oder Professional Level)</t>
  </si>
  <si>
    <t xml:space="preserve">Network + Güvenlik</t>
  </si>
  <si>
    <t xml:space="preserve">€31.000–65.000</t>
  </si>
  <si>
    <t xml:space="preserve">https://jobs.cancom.com/System-Engineer-NetworkSecurity-wm-Junior-oder-Professiona-de-j69.html</t>
  </si>
  <si>
    <t xml:space="preserve">Ağ/güvenlik sistem mühendisliği</t>
  </si>
  <si>
    <t xml:space="preserve">Ağ &amp; güvenlik</t>
  </si>
  <si>
    <t xml:space="preserve">Kapsch BusinessCom artık CANCOM Austria; eski Kapsch karriere.at ilanı çok eski, güncel eşdeğeri CANCOM portalında</t>
  </si>
  <si>
    <t xml:space="preserve">Consultant Microsoft Security (Azure / M365)</t>
  </si>
  <si>
    <t xml:space="preserve">Salzburg (+diğer AT)</t>
  </si>
  <si>
    <t xml:space="preserve">Cyber Security – Cloud Security</t>
  </si>
  <si>
    <t xml:space="preserve">ab €75.000/yıl</t>
  </si>
  <si>
    <t xml:space="preserve">https://www.kern-partner.at/jobs/job/214500.html</t>
  </si>
  <si>
    <t xml:space="preserve">Microsoft Security konseptleri (Azure, M365, Sentinel, E5); 3+ yıl M365/Azure Security</t>
  </si>
  <si>
    <t xml:space="preserve">Microsoft ekosistemi</t>
  </si>
  <si>
    <t xml:space="preserve">M365/Azure Security uygulama deneyimi yok</t>
  </si>
  <si>
    <t xml:space="preserve">Sertifika sonrası (SC-200/AZ-500)</t>
  </si>
  <si>
    <t xml:space="preserve">KERN sitesinde indeksli</t>
  </si>
  <si>
    <t xml:space="preserve">Hedef Firmalar – Salzburg &amp; Çevresi (açık başvuru / iş alarmı için)</t>
  </si>
  <si>
    <t xml:space="preserve">Uyum (1–5) = firma genelinde profile uygunluk + çalışma dili · İlan sayısı İlanlar sayfasından otomatik sayılır</t>
  </si>
  <si>
    <t xml:space="preserve">Sektör</t>
  </si>
  <si>
    <t xml:space="preserve">Ulaşım</t>
  </si>
  <si>
    <t xml:space="preserve">Büyüklük / not</t>
  </si>
  <si>
    <t xml:space="preserve">Neden uygun</t>
  </si>
  <si>
    <t xml:space="preserve">İlgili roller</t>
  </si>
  <si>
    <t xml:space="preserve">Uyum (1-5)</t>
  </si>
  <si>
    <t xml:space="preserve">Bu listedeki ilan sayısı</t>
  </si>
  <si>
    <t xml:space="preserve">Strateji</t>
  </si>
  <si>
    <t xml:space="preserve">Kariyer sayfası (arama sonuçlarında teyitli)</t>
  </si>
  <si>
    <t xml:space="preserve">İçecek / Global HQ</t>
  </si>
  <si>
    <t xml:space="preserve">Elsbethen, Fuschl, Wals</t>
  </si>
  <si>
    <t xml:space="preserve">15–30 dk</t>
  </si>
  <si>
    <t xml:space="preserve">Global merkez; IT Infrastructure Security ekibi Elsbethen'de</t>
  </si>
  <si>
    <t xml:space="preserve">İngilizce</t>
  </si>
  <si>
    <t xml:space="preserve">İngilizce çalışma dili; güvenlik servis yönetimi rolleri ISMS + ITIL geçmişine uygun</t>
  </si>
  <si>
    <t xml:space="preserve">Service Manager (Security), Team Lead Infra Security, Infrastructure Architect</t>
  </si>
  <si>
    <t xml:space="preserve">jobs.redbull.com'da ‘IT’ + Elsbethen alarmı; LinkedIn'de IT Security ekibiyle bağlantı</t>
  </si>
  <si>
    <t xml:space="preserve">Makine / Vinç (global)</t>
  </si>
  <si>
    <t xml:space="preserve">Global HQ; ICT fonksiyonu Bergheim'da</t>
  </si>
  <si>
    <t xml:space="preserve">Global ICT operasyonu, İngilizce, altyapı/operasyon yönetimi</t>
  </si>
  <si>
    <t xml:space="preserve">Infrastructure Operations Manager, IT PM, Cyber Security Engineer</t>
  </si>
  <si>
    <t xml:space="preserve">Hemen başvur; açık başvuru da gönder</t>
  </si>
  <si>
    <t xml:space="preserve">KTM AG / Bajaj Mobility</t>
  </si>
  <si>
    <t xml:space="preserve">Otomotiv (motosiklet)</t>
  </si>
  <si>
    <t xml:space="preserve">Mattighofen / Munderfing (OÖ)</t>
  </si>
  <si>
    <t xml:space="preserve">~45–50 dk</t>
  </si>
  <si>
    <t xml:space="preserve">Global üretici; 2024-25 yeniden yapılanma</t>
  </si>
  <si>
    <t xml:space="preserve">İngilizce + Almanca</t>
  </si>
  <si>
    <t xml:space="preserve">Head of IT I&amp;O rolü profile çok uygun</t>
  </si>
  <si>
    <t xml:space="preserve">Head of IT Infrastructure &amp; Operations, Data Protection Coordinator</t>
  </si>
  <si>
    <t xml:space="preserve">Başvur; şirketin mali durumunu görüşmede sor</t>
  </si>
  <si>
    <t xml:space="preserve">Porsche Holding / Porsche Informatik</t>
  </si>
  <si>
    <t xml:space="preserve">Otomotiv ticaret &amp; IT</t>
  </si>
  <si>
    <t xml:space="preserve">Salzburg / Bergheim</t>
  </si>
  <si>
    <t xml:space="preserve">Avrupa'nın en büyük otomotiv ticaret firması; Porsche Informatik ~830 uzman</t>
  </si>
  <si>
    <t xml:space="preserve">Almanca (İngilizce artı)</t>
  </si>
  <si>
    <t xml:space="preserve">Düzenli olarak ISO/ISMS rolleri açıyor</t>
  </si>
  <si>
    <t xml:space="preserve">Information Security Officer, Platform &amp; Application Security, System Engineer</t>
  </si>
  <si>
    <t xml:space="preserve">İş alarmı; açık başvuru; Porsche Informatik ISMS ekibiyle bağlantı</t>
  </si>
  <si>
    <t xml:space="preserve">https://jobs.volkswagen-group.com/PHS/?locale=en_US</t>
  </si>
  <si>
    <t xml:space="preserve">SPAR ICS (SPAR / INTERSPAR / Hervis / SES)</t>
  </si>
  <si>
    <t xml:space="preserve">Perakende IT</t>
  </si>
  <si>
    <t xml:space="preserve">SPAR Avusturya IT birimi; 700+ çalışan</t>
  </si>
  <si>
    <t xml:space="preserve">Perakende çok mağazalı IT geçmişi birebir örtüşüyor</t>
  </si>
  <si>
    <t xml:space="preserve">Security Consultant, Techlead DB, Cloud Platform</t>
  </si>
  <si>
    <t xml:space="preserve">Açık başvuru (Initiativbewerbung) – Inditex perakende deneyimini vurgula</t>
  </si>
  <si>
    <t xml:space="preserve">dm drogerie markt</t>
  </si>
  <si>
    <t xml:space="preserve">Perakende</t>
  </si>
  <si>
    <t xml:space="preserve">Wals-Siezenheim</t>
  </si>
  <si>
    <t xml:space="preserve">Avusturya/CEE merkezi; şube ağı IT'si merkezden</t>
  </si>
  <si>
    <t xml:space="preserve">Şube ağı/firewall yönetimi = 200 mağaza deneyimi</t>
  </si>
  <si>
    <t xml:space="preserve">IT-Netzwerkadministrator Filialnetzwerk vb.</t>
  </si>
  <si>
    <t xml:space="preserve">Başvur; ileride takım liderliği hedefle</t>
  </si>
  <si>
    <t xml:space="preserve">https://www.dm.at/unternehmen/karriere</t>
  </si>
  <si>
    <t xml:space="preserve">Enerji / Telekom / Ulaşım (KRITIS)</t>
  </si>
  <si>
    <t xml:space="preserve">Bölgenin en büyük kamu hizmetleri şirketi</t>
  </si>
  <si>
    <t xml:space="preserve">Kritik altyapı → ISO 27001 / NIS-2 ihtiyacı yüksek</t>
  </si>
  <si>
    <t xml:space="preserve">IT Infrastructure Systems Engineer, IT InfoSec Manager, ITSM</t>
  </si>
  <si>
    <t xml:space="preserve">karriere.salzburg-ag.at alarmı</t>
  </si>
  <si>
    <t xml:space="preserve">conova communications</t>
  </si>
  <si>
    <t xml:space="preserve">Veri merkezi / Managed IT</t>
  </si>
  <si>
    <t xml:space="preserve">Salzburg-Maxglan, Hallein</t>
  </si>
  <si>
    <t xml:space="preserve">ISO 27001 &amp; EN 50600 sertifikalı veri merkezleri; 100+ çalışan</t>
  </si>
  <si>
    <t xml:space="preserve">Sanallaştırma/backup + ISO 27001 ortamı</t>
  </si>
  <si>
    <t xml:space="preserve">Senior Systems Engineer (Virtualisierung/Backup/Storage)</t>
  </si>
  <si>
    <t xml:space="preserve">bewerbung@conova.com'a başvuru</t>
  </si>
  <si>
    <t xml:space="preserve">Wüstenrot Gruppe / Wüstenrot Technology</t>
  </si>
  <si>
    <t xml:space="preserve">Finans / Sigorta</t>
  </si>
  <si>
    <t xml:space="preserve">Salzburg (+Wien)</t>
  </si>
  <si>
    <t xml:space="preserve">Salzburg bölgesinin en büyük IT işverenlerinden</t>
  </si>
  <si>
    <t xml:space="preserve">Information Security Manager rolü birebir</t>
  </si>
  <si>
    <t xml:space="preserve">Information Security Manager, IAM Engineer</t>
  </si>
  <si>
    <t xml:space="preserve">Lam Research Salzburg (eski Semsysco)</t>
  </si>
  <si>
    <t xml:space="preserve">Yarı iletken ekipman (ABD)</t>
  </si>
  <si>
    <t xml:space="preserve">Avusturya'da ~900 çalışan (Villach + Salzburg)</t>
  </si>
  <si>
    <t xml:space="preserve">ABD'li global firma; İngilizce kurumsal ortam</t>
  </si>
  <si>
    <t xml:space="preserve">IT Support / Systems Administrator</t>
  </si>
  <si>
    <t xml:space="preserve">careers.lamresearch.com'da Salzburg alarmı</t>
  </si>
  <si>
    <t xml:space="preserve">SKIDATA</t>
  </si>
  <si>
    <t xml:space="preserve">Erişim / otopark teknolojisi</t>
  </si>
  <si>
    <t xml:space="preserve">Global HQ; uluslararası ekip</t>
  </si>
  <si>
    <t xml:space="preserve">Global servis yönetimi rolleri</t>
  </si>
  <si>
    <t xml:space="preserve">Global Service Performance Manager, IT System Engineer</t>
  </si>
  <si>
    <t xml:space="preserve">Senoplast Klepsch</t>
  </si>
  <si>
    <t xml:space="preserve">Plastik levha üretimi</t>
  </si>
  <si>
    <t xml:space="preserve">Piesendorf</t>
  </si>
  <si>
    <t xml:space="preserve">~430 çalışan; Pinzgau'nun büyük işverenlerinden</t>
  </si>
  <si>
    <t xml:space="preserve">IT Ops &amp; Security Manager birebir</t>
  </si>
  <si>
    <t xml:space="preserve">IT Operations &amp; Security Manager</t>
  </si>
  <si>
    <t xml:space="preserve">Başvur (hibrit sor)</t>
  </si>
  <si>
    <t xml:space="preserve">Hammerer Aluminium Industries</t>
  </si>
  <si>
    <t xml:space="preserve">Alüminyum (otomotiv tedarik)</t>
  </si>
  <si>
    <t xml:space="preserve">NIS-2/TISAX yatırımı</t>
  </si>
  <si>
    <t xml:space="preserve">ISO 27001 + uyum</t>
  </si>
  <si>
    <t xml:space="preserve">InfoSec &amp; Compliance Specialist NIS-2/TISAX</t>
  </si>
  <si>
    <t xml:space="preserve">NovaTaste Austria</t>
  </si>
  <si>
    <t xml:space="preserve">Gıda (global, 2.400 çalışan)</t>
  </si>
  <si>
    <t xml:space="preserve">Global aroma/baharat grubu</t>
  </si>
  <si>
    <t xml:space="preserve">Almanca + İngilizce</t>
  </si>
  <si>
    <t xml:space="preserve">ISO 27001 ISMS kurulumu</t>
  </si>
  <si>
    <t xml:space="preserve">Information Security Specialist</t>
  </si>
  <si>
    <t xml:space="preserve">https://careers.novataste.com/</t>
  </si>
  <si>
    <t xml:space="preserve">Inditex Österreich</t>
  </si>
  <si>
    <t xml:space="preserve">Moda perakende</t>
  </si>
  <si>
    <t xml:space="preserve">Eski işveren grubu (ITX Trading Turkey 2012–2023)</t>
  </si>
  <si>
    <t xml:space="preserve">İngilizce + Almanca (+Türkçe network)</t>
  </si>
  <si>
    <t xml:space="preserve">İç referans – EN GÜÇLÜ TÜRKÇE BAĞLANTISI</t>
  </si>
  <si>
    <t xml:space="preserve">Açık başvuru</t>
  </si>
  <si>
    <t xml:space="preserve">Inditex Türkiye'deki eski yöneticilerden referans / iç transfer iste</t>
  </si>
  <si>
    <t xml:space="preserve">https://joinus.inditexcareers.com/en/austria/</t>
  </si>
  <si>
    <t xml:space="preserve">x-tention Informationstechnologie</t>
  </si>
  <si>
    <t xml:space="preserve">IT hizmetleri (sağlık IT odaklı)</t>
  </si>
  <si>
    <t xml:space="preserve">Salzburg (+AT, DE, CH)</t>
  </si>
  <si>
    <t xml:space="preserve">Siber güvenlik danışmanlığı &amp; SIEM/SOC projeleri</t>
  </si>
  <si>
    <t xml:space="preserve">Güvenlik danışmanlığı + PM rolleri</t>
  </si>
  <si>
    <t xml:space="preserve">Senior Cyber Security Consultant &amp; PM, Senior InfoSec Consultant</t>
  </si>
  <si>
    <t xml:space="preserve">GRC / DORA danışmanlığı</t>
  </si>
  <si>
    <t xml:space="preserve">Genç danışmanlık firması; ekip büyütüyor</t>
  </si>
  <si>
    <t xml:space="preserve">DORA, BCM, IT denetim – ISO 27001 + ITIL ile örtüşüyor</t>
  </si>
  <si>
    <t xml:space="preserve">GRC / DORA Consultant</t>
  </si>
  <si>
    <t xml:space="preserve">COPA-DATA</t>
  </si>
  <si>
    <t xml:space="preserve">Endüstriyel yazılım</t>
  </si>
  <si>
    <t xml:space="preserve">33 milliyet; ~330 çalışan</t>
  </si>
  <si>
    <t xml:space="preserve">Uluslararası ortam; iç IT için açık başvuru</t>
  </si>
  <si>
    <t xml:space="preserve">Şu an çoğunlukla yazılım rolleri</t>
  </si>
  <si>
    <t xml:space="preserve">jobs@copadata.com'a iç IT/güvenlik açık başvurusu</t>
  </si>
  <si>
    <t xml:space="preserve">https://www.copadata.com/en/career/jobs</t>
  </si>
  <si>
    <t xml:space="preserve">B&amp;R Industrial Automation (ABB)</t>
  </si>
  <si>
    <t xml:space="preserve">Endüstriyel otomasyon</t>
  </si>
  <si>
    <t xml:space="preserve">Eggelsberg (OÖ)</t>
  </si>
  <si>
    <t xml:space="preserve">~40 dk</t>
  </si>
  <si>
    <t xml:space="preserve">ABB grubunun parçası; global</t>
  </si>
  <si>
    <t xml:space="preserve">Global IT altyapısı</t>
  </si>
  <si>
    <t xml:space="preserve">IT ilanı bulunamadı – takip</t>
  </si>
  <si>
    <t xml:space="preserve">ABB kariyer platformunda Eggelsberg + IT alarmı</t>
  </si>
  <si>
    <t xml:space="preserve">https://www.br-automation.com/en/career/</t>
  </si>
  <si>
    <t xml:space="preserve">BMW Austria</t>
  </si>
  <si>
    <t xml:space="preserve">Otomotiv satış (AT + CEE/SEE bölgesi)</t>
  </si>
  <si>
    <t xml:space="preserve">Avusturya ve Orta/Güneydoğu Avrupa bölge merkezi</t>
  </si>
  <si>
    <t xml:space="preserve">InfoSec &amp; OPRisk rolü</t>
  </si>
  <si>
    <t xml:space="preserve">Specialist Information Security &amp; OPRisk</t>
  </si>
  <si>
    <t xml:space="preserve">Raiffeisenverband Salzburg</t>
  </si>
  <si>
    <t xml:space="preserve">Bankacılık</t>
  </si>
  <si>
    <t xml:space="preserve">Bölgesel bankacılık grubu</t>
  </si>
  <si>
    <t xml:space="preserve">IT-Security &amp; Audit, IAM</t>
  </si>
  <si>
    <t xml:space="preserve">IT-Security &amp; Audit-Services</t>
  </si>
  <si>
    <t xml:space="preserve">rvs.bewerberportal.at</t>
  </si>
  <si>
    <t xml:space="preserve">https://rvs.bewerberportal.at/Jobs</t>
  </si>
  <si>
    <t xml:space="preserve">Özel bankacılık</t>
  </si>
  <si>
    <t xml:space="preserve">Avusturya'nın en eski özel bankası (1828)</t>
  </si>
  <si>
    <t xml:space="preserve">DORA / IKT governance</t>
  </si>
  <si>
    <t xml:space="preserve">IKT Governance &amp; Resilience, Senior IT-Techniker</t>
  </si>
  <si>
    <t xml:space="preserve">M. Kaindl GmbH</t>
  </si>
  <si>
    <t xml:space="preserve">Zemin / ahşap üretimi</t>
  </si>
  <si>
    <t xml:space="preserve">Wals / Salzburg</t>
  </si>
  <si>
    <t xml:space="preserve">Dünya pazar lideri zemin üreticisi</t>
  </si>
  <si>
    <t xml:space="preserve">Senior sysadmin + projeler</t>
  </si>
  <si>
    <t xml:space="preserve">Senior IT Systemadministrator:in</t>
  </si>
  <si>
    <t xml:space="preserve">https://www.kaindl.com/en/careers/job-offers/</t>
  </si>
  <si>
    <t xml:space="preserve">Liebherr-Werk Bischofshofen</t>
  </si>
  <si>
    <t xml:space="preserve">Makine</t>
  </si>
  <si>
    <t xml:space="preserve">Bischofshofen</t>
  </si>
  <si>
    <t xml:space="preserve">50–60 dk</t>
  </si>
  <si>
    <t xml:space="preserve">Liebherr grubu</t>
  </si>
  <si>
    <t xml:space="preserve">ISO 27001 odaklı sysadmin</t>
  </si>
  <si>
    <t xml:space="preserve">IT-Systemadministrator IT-Sicherheit</t>
  </si>
  <si>
    <t xml:space="preserve">https://www.liebherr.com/de-at/firmengruppe/standort/bischofshofen-karriere-4445573</t>
  </si>
  <si>
    <t xml:space="preserve">AMAG Austria Metall</t>
  </si>
  <si>
    <t xml:space="preserve">Alüminyum</t>
  </si>
  <si>
    <t xml:space="preserve">Uluslararası alüminyum grubu; kurumsal dil Almanca</t>
  </si>
  <si>
    <t xml:space="preserve">Altyapı + güvenlik operasyonu</t>
  </si>
  <si>
    <t xml:space="preserve">Infrastruktur &amp; Security Operator, IT-Security</t>
  </si>
  <si>
    <t xml:space="preserve">https://www.amag-al4u.com/en/career/open-positions</t>
  </si>
  <si>
    <t xml:space="preserve">SALK – Salzburger Landeskliniken</t>
  </si>
  <si>
    <t xml:space="preserve">Sağlık (kamu)</t>
  </si>
  <si>
    <t xml:space="preserve">~7.000 çalışan</t>
  </si>
  <si>
    <t xml:space="preserve">ISMS rolleri tekrar açılıyor</t>
  </si>
  <si>
    <t xml:space="preserve">Information Security Expert, Abteilungsleiter Klinische IT</t>
  </si>
  <si>
    <t xml:space="preserve">salk.at/jobs alarmı</t>
  </si>
  <si>
    <t xml:space="preserve">https://salk.at/jobs/</t>
  </si>
  <si>
    <t xml:space="preserve">Paracelsus Med. Privatuniversität (PMU)</t>
  </si>
  <si>
    <t xml:space="preserve">Üniversite / Sağlık</t>
  </si>
  <si>
    <t xml:space="preserve">Özel tıp üniversitesi</t>
  </si>
  <si>
    <t xml:space="preserve">Sysadmin</t>
  </si>
  <si>
    <t xml:space="preserve">Netzwerk- und Systemadministrator</t>
  </si>
  <si>
    <t xml:space="preserve">https://karriere.pmu.ac.at/</t>
  </si>
  <si>
    <t xml:space="preserve">Lagermax</t>
  </si>
  <si>
    <t xml:space="preserve">Lojistik</t>
  </si>
  <si>
    <t xml:space="preserve">Avusturya'nın en büyük lojistik firmalarından</t>
  </si>
  <si>
    <t xml:space="preserve">IAM / Microsoft</t>
  </si>
  <si>
    <t xml:space="preserve">Senior IT System Engineer – Microsoft</t>
  </si>
  <si>
    <t xml:space="preserve">jobs@lagermax.com</t>
  </si>
  <si>
    <t xml:space="preserve">https://www.lagermax.com/de-at/karriere/offene-jobs/</t>
  </si>
  <si>
    <t xml:space="preserve">IT hizmetleri</t>
  </si>
  <si>
    <t xml:space="preserve">Avusturya'da 1.500+ çalışan</t>
  </si>
  <si>
    <t xml:space="preserve">Çok sayıda sysadmin/ops rolü</t>
  </si>
  <si>
    <t xml:space="preserve">Systemadministrator (Windows), IT Operations Engineer</t>
  </si>
  <si>
    <t xml:space="preserve">CANCOM Austria</t>
  </si>
  <si>
    <t xml:space="preserve">Salzburg (6 lokasyon)</t>
  </si>
  <si>
    <t xml:space="preserve">ICT hizmet sağlayıcı</t>
  </si>
  <si>
    <t xml:space="preserve">MS altyapı</t>
  </si>
  <si>
    <t xml:space="preserve">Senior System Engineer Microsoft</t>
  </si>
  <si>
    <t xml:space="preserve">Messezentrum Salzburg</t>
  </si>
  <si>
    <t xml:space="preserve">Fuar / etkinlik</t>
  </si>
  <si>
    <t xml:space="preserve">Güncel IT ilanı (10.09.2026)</t>
  </si>
  <si>
    <t xml:space="preserve">IT PM / uygulama yönetimi</t>
  </si>
  <si>
    <t xml:space="preserve">IT Data/PM/Application Mgmt</t>
  </si>
  <si>
    <t xml:space="preserve">Rosewood Schloss Fuschl / Sheraton Grand Salzburg</t>
  </si>
  <si>
    <t xml:space="preserve">Otelcilik (lüks)</t>
  </si>
  <si>
    <t xml:space="preserve">Fuschl / Salzburg</t>
  </si>
  <si>
    <t xml:space="preserve">Uluslararası otel zincirleri</t>
  </si>
  <si>
    <t xml:space="preserve">İngilizce IT operasyon rolleri</t>
  </si>
  <si>
    <t xml:space="preserve">IT Supervisor / IT Manager</t>
  </si>
  <si>
    <t xml:space="preserve">Otel kariyer sayfaları</t>
  </si>
  <si>
    <t xml:space="preserve">https://careers.rosewoodhotelgroup.com/</t>
  </si>
  <si>
    <t xml:space="preserve">BWT (Best Water Technology)</t>
  </si>
  <si>
    <t xml:space="preserve">Su teknolojisi (global)</t>
  </si>
  <si>
    <t xml:space="preserve">Mondsee (OÖ)</t>
  </si>
  <si>
    <t xml:space="preserve">~30 dk</t>
  </si>
  <si>
    <t xml:space="preserve">Salzburg'da işe alım yapan firmalar arasında (Glassdoor)</t>
  </si>
  <si>
    <t xml:space="preserve">Global IT</t>
  </si>
  <si>
    <t xml:space="preserve">İlan görülmedi – takip</t>
  </si>
  <si>
    <t xml:space="preserve">Kariyer sayfası takip</t>
  </si>
  <si>
    <t xml:space="preserve">https://www.bwt.com/</t>
  </si>
  <si>
    <t xml:space="preserve">Otto Austria Group</t>
  </si>
  <si>
    <t xml:space="preserve">E-ticaret (Avusturya'nın en büyüklerinden)</t>
  </si>
  <si>
    <t xml:space="preserve">Salzburg (+Graz)</t>
  </si>
  <si>
    <t xml:space="preserve">SIEM kurulumu yapıyor</t>
  </si>
  <si>
    <t xml:space="preserve">Perakende/e-ticaret + güvenlik</t>
  </si>
  <si>
    <t xml:space="preserve">Information Security Specialist – SIEM</t>
  </si>
  <si>
    <t xml:space="preserve">KPMG Österreich (Salzburg)</t>
  </si>
  <si>
    <t xml:space="preserve">Denetim / danışmanlık (Big4)</t>
  </si>
  <si>
    <t xml:space="preserve">Cyber Security Beratung ekibi</t>
  </si>
  <si>
    <t xml:space="preserve">ISO 27001 denetim/danışmanlık</t>
  </si>
  <si>
    <t xml:space="preserve">Senior Spezialist Cybersecurity Beratung</t>
  </si>
  <si>
    <t xml:space="preserve">Siber güvenlik firması</t>
  </si>
  <si>
    <t xml:space="preserve">Puch bei Hallein</t>
  </si>
  <si>
    <t xml:space="preserve">ISO 27001 danışmanlığı + güvenlik analitiği; DACH müşterileri</t>
  </si>
  <si>
    <t xml:space="preserve">ISO 27001 + AD hardening</t>
  </si>
  <si>
    <t xml:space="preserve">IT-Security Specialist</t>
  </si>
  <si>
    <t xml:space="preserve">NTS Netzwerk Telekom Service</t>
  </si>
  <si>
    <t xml:space="preserve">Ağ &amp; güvenlik entegratörü</t>
  </si>
  <si>
    <t xml:space="preserve">Salzburg (+AT)</t>
  </si>
  <si>
    <t xml:space="preserve">Network &amp; security mühendisliği</t>
  </si>
  <si>
    <t xml:space="preserve">Ağ güvenliği rolleri</t>
  </si>
  <si>
    <t xml:space="preserve">Security Engineer, Sr. SE Network &amp; Security</t>
  </si>
  <si>
    <t xml:space="preserve">Mercedes-Benz Österreich</t>
  </si>
  <si>
    <t xml:space="preserve">Otomotiv satış</t>
  </si>
  <si>
    <t xml:space="preserve">Eugendorf</t>
  </si>
  <si>
    <t xml:space="preserve">Mercedes-Benz Group'un %100 iştiraki</t>
  </si>
  <si>
    <t xml:space="preserve">Kurumsal IT</t>
  </si>
  <si>
    <t xml:space="preserve">İlan görülmedi</t>
  </si>
  <si>
    <t xml:space="preserve">Takip</t>
  </si>
  <si>
    <t xml:space="preserve">https://www.mercedes-benz.at/passengercars/brand/career.html</t>
  </si>
  <si>
    <t xml:space="preserve">Salzburger Sparkasse</t>
  </si>
  <si>
    <t xml:space="preserve">Erste Group</t>
  </si>
  <si>
    <t xml:space="preserve">Finans sektörü ISMS/DORA</t>
  </si>
  <si>
    <t xml:space="preserve">https://www.sparkasse.at/salzburg/karriere_start/stellenangebote</t>
  </si>
  <si>
    <t xml:space="preserve">Universität Salzburg (PLUS)</t>
  </si>
  <si>
    <t xml:space="preserve">Üniversite</t>
  </si>
  <si>
    <t xml:space="preserve">IT-Services ~50 kişi</t>
  </si>
  <si>
    <t xml:space="preserve">Almanca (çoğu rolde C1)</t>
  </si>
  <si>
    <t xml:space="preserve">Dil engeli yüksek</t>
  </si>
  <si>
    <t xml:space="preserve">IT-Servicemanager, IT-Security Engineer</t>
  </si>
  <si>
    <t xml:space="preserve">Almanca C1 sonrası</t>
  </si>
  <si>
    <t xml:space="preserve">https://karriere.plus.ac.at/de/</t>
  </si>
  <si>
    <t xml:space="preserve">CompuGroup Medical</t>
  </si>
  <si>
    <t xml:space="preserve">Sağlık yazılımı</t>
  </si>
  <si>
    <t xml:space="preserve">Sağlık IT geçmişi</t>
  </si>
  <si>
    <t xml:space="preserve">https://www.cgm.com/</t>
  </si>
  <si>
    <t xml:space="preserve">mindsetters GmbH</t>
  </si>
  <si>
    <t xml:space="preserve">Pentest, forensik, firewall, backup</t>
  </si>
  <si>
    <t xml:space="preserve">Yerel güvenlik hizmet firması</t>
  </si>
  <si>
    <t xml:space="preserve">https://www.mindsetters.com/</t>
  </si>
  <si>
    <t xml:space="preserve">Kariyer / İşe Alım Firmaları (Personalberatung, Headhunter, Personaldienstleister)</t>
  </si>
  <si>
    <t xml:space="preserve">Öneri: 5 puanlıların hepsine bu hafta CV gönder + LinkedIn'den ilgili IT recruiter'ı bul</t>
  </si>
  <si>
    <t xml:space="preserve">Tür</t>
  </si>
  <si>
    <t xml:space="preserve">Salzburg adresi / iletişim</t>
  </si>
  <si>
    <t xml:space="preserve">Uzmanlık</t>
  </si>
  <si>
    <t xml:space="preserve">Profile uygunluk (1-5)</t>
  </si>
  <si>
    <t xml:space="preserve">Aktif ilan örneği</t>
  </si>
  <si>
    <t xml:space="preserve">Web</t>
  </si>
  <si>
    <t xml:space="preserve">Not / strateji</t>
  </si>
  <si>
    <t xml:space="preserve">SCHULMEISTER Management Consulting</t>
  </si>
  <si>
    <t xml:space="preserve">Personalberatung / Executive Search</t>
  </si>
  <si>
    <t xml:space="preserve">Salzburg ofisi (+Wien, Linz, Graz, Prag)</t>
  </si>
  <si>
    <t xml:space="preserve">IT: altyapı, güvenlik, SAP, veri; Finans</t>
  </si>
  <si>
    <t xml:space="preserve">Systems Engineer – Microsoft Infrastruktur (€75k+)</t>
  </si>
  <si>
    <t xml:space="preserve">https://www.schulmeister-consulting.com/de/fuer-bewerberinnen/jobs-finden</t>
  </si>
  <si>
    <t xml:space="preserve">2026'da Avusturya'nın en iyi headhunter'ları arasında; IT infra/security odaklı – ilk aranacak firma</t>
  </si>
  <si>
    <t xml:space="preserve">epunkt GmbH</t>
  </si>
  <si>
    <t xml:space="preserve">IT Recruiting</t>
  </si>
  <si>
    <t xml:space="preserve">Siezenheimer Straße 35, 5020 Salzburg · +43 662 261262</t>
  </si>
  <si>
    <t xml:space="preserve">IT-security, altyapı, ERP, yazılım</t>
  </si>
  <si>
    <t xml:space="preserve">(Senior) IT-Systemadministrator; IT-Systemadministrator Tennengau</t>
  </si>
  <si>
    <t xml:space="preserve">https://www.epunkt.com/standort/salzburg/</t>
  </si>
  <si>
    <t xml:space="preserve">Avusturya'nın önde gelen IT recruiter'ı; Salzburg ofisi var – CV kaydı yap</t>
  </si>
  <si>
    <t xml:space="preserve">TECHSEARCH</t>
  </si>
  <si>
    <t xml:space="preserve">IT &amp; teknik uzman recruiting</t>
  </si>
  <si>
    <t xml:space="preserve">IT &amp; teknik uzmanlar</t>
  </si>
  <si>
    <t xml:space="preserve">IT-Teamleiter:in (€5.500–7.200/ay)</t>
  </si>
  <si>
    <t xml:space="preserve">Profile en uygun ilanlardan birini yönetiyor – hemen iletişim</t>
  </si>
  <si>
    <t xml:space="preserve">AMS Salzburg (Arbeitsmarktservice)</t>
  </si>
  <si>
    <t xml:space="preserve">Kamu istihdam kurumu</t>
  </si>
  <si>
    <t xml:space="preserve">Salzburg (bölge ofisleri)</t>
  </si>
  <si>
    <t xml:space="preserve">Tüm sektörler; eJob-Room; kurs finansmanı</t>
  </si>
  <si>
    <t xml:space="preserve">jobs.ams.at</t>
  </si>
  <si>
    <t xml:space="preserve">https://jobs.ams.at/</t>
  </si>
  <si>
    <t xml:space="preserve">Kayıt ol: Almanca C1 / sertifika kursları finanse edilebilir – danışmana sor</t>
  </si>
  <si>
    <t xml:space="preserve">KERN engineering careers</t>
  </si>
  <si>
    <t xml:space="preserve">Personalberatung (Technik &amp; IT)</t>
  </si>
  <si>
    <t xml:space="preserve">Salzburg dahil (Graz, Klagenfurt, Wels, Wien)</t>
  </si>
  <si>
    <t xml:space="preserve">IT güvenliği, Microsoft Security, mühendislik</t>
  </si>
  <si>
    <t xml:space="preserve">Information Security Consultant (€4.800–5.700/ay); Consultant Microsoft Security (€75k+)</t>
  </si>
  <si>
    <t xml:space="preserve">Siber güvenlik / ISMS danışman rolleri için ilk aranacak firma</t>
  </si>
  <si>
    <t xml:space="preserve">Interim Management</t>
  </si>
  <si>
    <t xml:space="preserve">Getreidegasse 31, 5020 Salzburg</t>
  </si>
  <si>
    <t xml:space="preserve">Interim yöneticiler (C-level'a kadar)</t>
  </si>
  <si>
    <t xml:space="preserve">https://www.gointerim.com/</t>
  </si>
  <si>
    <t xml:space="preserve">15+ yıllık yönetici profili interim/proje bazlı rollere uygun</t>
  </si>
  <si>
    <t xml:space="preserve">Iventa</t>
  </si>
  <si>
    <t xml:space="preserve">Siezenheimerstraße 35, 5020 Salzburg · hallo@iventa.eu</t>
  </si>
  <si>
    <t xml:space="preserve">Executive search, recruiting (DACH + CEE)</t>
  </si>
  <si>
    <t xml:space="preserve">https://www.iventa.eu/</t>
  </si>
  <si>
    <t xml:space="preserve">DACH + CEE ağı; yönetici pozisyonları</t>
  </si>
  <si>
    <t xml:space="preserve">Rehrl + Partner Personalberatung</t>
  </si>
  <si>
    <t xml:space="preserve">Personalberatung</t>
  </si>
  <si>
    <t xml:space="preserve">Imbergstraße 20, 5020 Salzburg</t>
  </si>
  <si>
    <t xml:space="preserve">Finans, IT &amp; teknoloji, satış, HR</t>
  </si>
  <si>
    <t xml:space="preserve">https://www.rehrl.at/</t>
  </si>
  <si>
    <t xml:space="preserve">Salzburg merkezli, 20+ yıl; IT &amp; Technik uzmanlığı</t>
  </si>
  <si>
    <t xml:space="preserve">HAPEKO</t>
  </si>
  <si>
    <t xml:space="preserve">Headhunter / Personalberatung</t>
  </si>
  <si>
    <t xml:space="preserve">Salzburg ofisi</t>
  </si>
  <si>
    <t xml:space="preserve">IT, mühendislik, satış</t>
  </si>
  <si>
    <t xml:space="preserve">https://www.hapeko.at/standorte/salzburg</t>
  </si>
  <si>
    <t xml:space="preserve">IT &amp; dijitalleşme headhunting</t>
  </si>
  <si>
    <t xml:space="preserve">MBMC</t>
  </si>
  <si>
    <t xml:space="preserve">IT, teknik, satış</t>
  </si>
  <si>
    <t xml:space="preserve">https://www.mbmc.at/personalberatung/salzburg/</t>
  </si>
  <si>
    <t xml:space="preserve">IT headhunter; uzman &amp; yönetici</t>
  </si>
  <si>
    <t xml:space="preserve">TNT Personal (TNT Personalberatung)</t>
  </si>
  <si>
    <t xml:space="preserve">Salzburg bölgesi</t>
  </si>
  <si>
    <t xml:space="preserve">Sanayi / IT</t>
  </si>
  <si>
    <t xml:space="preserve">IT Spezialist (€42k+) – iletişim: nicolas.bohner@tntpersonal.at</t>
  </si>
  <si>
    <t xml:space="preserve">https://tntpersonal.at/jobs-stellenanzeigen/</t>
  </si>
  <si>
    <t xml:space="preserve">Sanayi müşterileri</t>
  </si>
  <si>
    <t xml:space="preserve">grinnberg GmbH</t>
  </si>
  <si>
    <t xml:space="preserve">IT-Personalberatung (Almanya merkezli)</t>
  </si>
  <si>
    <t xml:space="preserve">Uzaktan; Salzburg bölgesi ilanları var</t>
  </si>
  <si>
    <t xml:space="preserve">IT (sysadmin, network)</t>
  </si>
  <si>
    <t xml:space="preserve">Senior Netzwerkadministrator; IT-Systemadministrator (Raum Salzburg)</t>
  </si>
  <si>
    <t xml:space="preserve">IT-ProRecruiter havuzu</t>
  </si>
  <si>
    <t xml:space="preserve">Trenkwalder Salzburg</t>
  </si>
  <si>
    <t xml:space="preserve">Personaldienstleister (vermittlung + leasing)</t>
  </si>
  <si>
    <t xml:space="preserve">Sterneckstraße 59, 5020 Salzburg · +43 50707 2030 · AToffice30@trenkwalder.com</t>
  </si>
  <si>
    <t xml:space="preserve">Genel + IT; freelancer/contracting</t>
  </si>
  <si>
    <t xml:space="preserve">Citrix Engineer (freehire'da)</t>
  </si>
  <si>
    <t xml:space="preserve">https://at.trenkwalder.com/standorte/salzburg</t>
  </si>
  <si>
    <t xml:space="preserve">Personel leasing üzerinden hızlı giriş seçeneği</t>
  </si>
  <si>
    <t xml:space="preserve">TTI Personaldienstleistung</t>
  </si>
  <si>
    <t xml:space="preserve">Personaldienstleister</t>
  </si>
  <si>
    <t xml:space="preserve">IT, finans, HR vb.</t>
  </si>
  <si>
    <t xml:space="preserve">https://www.tti.at/</t>
  </si>
  <si>
    <t xml:space="preserve">~260 çalışan; IT departmanı var</t>
  </si>
  <si>
    <t xml:space="preserve">Manpower Austria</t>
  </si>
  <si>
    <t xml:space="preserve">Genel + IT-Administrator</t>
  </si>
  <si>
    <t xml:space="preserve">IT-Administrator (Salzburg)</t>
  </si>
  <si>
    <t xml:space="preserve">https://www.manpower.at/jobs/it-administrator/salzburg</t>
  </si>
  <si>
    <t xml:space="preserve">Lam Research, Mercedes-Benz gibi müşteriler</t>
  </si>
  <si>
    <t xml:space="preserve">Globe Personal Service</t>
  </si>
  <si>
    <t xml:space="preserve">Personalvermittlung</t>
  </si>
  <si>
    <t xml:space="preserve">IT, üretim, mühendislik, sağlık</t>
  </si>
  <si>
    <t xml:space="preserve">https://globe.at/en/company/standorte/personalvermittlung-und-personalberatung-salzburg/</t>
  </si>
  <si>
    <t xml:space="preserve">Hays Österreich</t>
  </si>
  <si>
    <t xml:space="preserve">IT Personaldienstleister / Contracting</t>
  </si>
  <si>
    <t xml:space="preserve">Wien, Graz (Salzburg ofisi yok)</t>
  </si>
  <si>
    <t xml:space="preserve">IT jobs &amp; IT projeleri (freelance dahil)</t>
  </si>
  <si>
    <t xml:space="preserve">https://www.hays.at/personaldienstleister/fachgebiet-information-technology</t>
  </si>
  <si>
    <t xml:space="preserve">Proje/freelance ISMS işleri için</t>
  </si>
  <si>
    <t xml:space="preserve">Michael Page Austria</t>
  </si>
  <si>
    <t xml:space="preserve">Recruitment (uluslararası)</t>
  </si>
  <si>
    <t xml:space="preserve">Wien</t>
  </si>
  <si>
    <t xml:space="preserve">Teknoloji, finans – İngilizce süreçler</t>
  </si>
  <si>
    <t xml:space="preserve">https://www.michaelpage.com/</t>
  </si>
  <si>
    <t xml:space="preserve">İngilizce çalışan uluslararası roller için</t>
  </si>
  <si>
    <t xml:space="preserve">PERNER GROUP</t>
  </si>
  <si>
    <t xml:space="preserve">Genel</t>
  </si>
  <si>
    <t xml:space="preserve">https://www.pernergroup.com/de/fuer-unternehmen/personalberatung</t>
  </si>
  <si>
    <t xml:space="preserve">rk-management GmbH</t>
  </si>
  <si>
    <t xml:space="preserve">Recruiting &amp; Personalberatung</t>
  </si>
  <si>
    <t xml:space="preserve">Salzburg ve çevresi</t>
  </si>
  <si>
    <t xml:space="preserve">Genel + talent development</t>
  </si>
  <si>
    <t xml:space="preserve">https://www.rkmanagement.at/leistungen-fuer-ihr-unternehmen/</t>
  </si>
  <si>
    <t xml:space="preserve">İş Portalları – arama alarmı kurulacak yerler</t>
  </si>
  <si>
    <t xml:space="preserve">Portal</t>
  </si>
  <si>
    <t xml:space="preserve">Link</t>
  </si>
  <si>
    <t xml:space="preserve">Kullanım önerisi</t>
  </si>
  <si>
    <t xml:space="preserve">karriere.at</t>
  </si>
  <si>
    <t xml:space="preserve">Avusturya'nın en büyük iş portalı</t>
  </si>
  <si>
    <t xml:space="preserve">DE (bazı EN)</t>
  </si>
  <si>
    <t xml:space="preserve">https://www.karriere.at/jobs/it/salzburg</t>
  </si>
  <si>
    <t xml:space="preserve">Arama alarmı: ‘Informationssicherheit’, ‘IT-Leiter’, ‘Systemadministrator’ + Salzburg</t>
  </si>
  <si>
    <t xml:space="preserve">karriere.sn.at</t>
  </si>
  <si>
    <t xml:space="preserve">Salzburger Nachrichten iş portalı</t>
  </si>
  <si>
    <t xml:space="preserve">https://karriere.sn.at/</t>
  </si>
  <si>
    <t xml:space="preserve">Bölgesel ilanlar</t>
  </si>
  <si>
    <t xml:space="preserve">jobs.salzburg24.at</t>
  </si>
  <si>
    <t xml:space="preserve">Salzburg24 iş portalı</t>
  </si>
  <si>
    <t xml:space="preserve">DE/EN</t>
  </si>
  <si>
    <t xml:space="preserve">https://jobs.salzburg24.at/jobs/it-edv/salzburg-stadt</t>
  </si>
  <si>
    <t xml:space="preserve">Bölgesel IT ilanları</t>
  </si>
  <si>
    <t xml:space="preserve">salzburgerjobs.at</t>
  </si>
  <si>
    <t xml:space="preserve">Bölgesel portal</t>
  </si>
  <si>
    <t xml:space="preserve">https://www.salzburgerjobs.at/</t>
  </si>
  <si>
    <t xml:space="preserve">StepStone.at</t>
  </si>
  <si>
    <t xml:space="preserve">Büyük portal</t>
  </si>
  <si>
    <t xml:space="preserve">https://www.stepstone.at/jobs/english-speaking/in-salzburg</t>
  </si>
  <si>
    <t xml:space="preserve">‘English speaking’ filtresi</t>
  </si>
  <si>
    <t xml:space="preserve">jobinsalzburg.com</t>
  </si>
  <si>
    <t xml:space="preserve">Salzburg'da İNGİLİZCE işler</t>
  </si>
  <si>
    <t xml:space="preserve">https://jobinsalzburg.com/</t>
  </si>
  <si>
    <t xml:space="preserve">İngilizce çalışma dili odaklı</t>
  </si>
  <si>
    <t xml:space="preserve">englishjobsearch.at</t>
  </si>
  <si>
    <t xml:space="preserve">Avusturya'da İngilizce işler</t>
  </si>
  <si>
    <t xml:space="preserve">https://englishjobsearch.at/in/salzburg-stadt</t>
  </si>
  <si>
    <t xml:space="preserve">İngilizce roller</t>
  </si>
  <si>
    <t xml:space="preserve">Glassdoor</t>
  </si>
  <si>
    <t xml:space="preserve">Global portal</t>
  </si>
  <si>
    <t xml:space="preserve">EN/DE</t>
  </si>
  <si>
    <t xml:space="preserve">https://www.glassdoor.com/Job/salzburg-english-jobs-SRCH_IL.0,8_IC3080206_KO9,16.htm</t>
  </si>
  <si>
    <t xml:space="preserve">‘english’ + Salzburg</t>
  </si>
  <si>
    <t xml:space="preserve">LinkedIn Jobs</t>
  </si>
  <si>
    <t xml:space="preserve">https://www.linkedin.com/jobs/</t>
  </si>
  <si>
    <t xml:space="preserve">Recruiter'lara doğrudan mesaj; ‘Open to work’</t>
  </si>
  <si>
    <t xml:space="preserve">AMS eJob-Room</t>
  </si>
  <si>
    <t xml:space="preserve">Kamu iş portalı</t>
  </si>
  <si>
    <t xml:space="preserve">Kayıt + danışman</t>
  </si>
  <si>
    <t xml:space="preserve">DEVjobs.at / it-career.at / tecjobs.at</t>
  </si>
  <si>
    <t xml:space="preserve">IT'ye özel portallar</t>
  </si>
  <si>
    <t xml:space="preserve">https://devjobs.at/</t>
  </si>
  <si>
    <t xml:space="preserve">Maaş bilgisi şeffaf</t>
  </si>
  <si>
    <t xml:space="preserve">hokify / join.com</t>
  </si>
  <si>
    <t xml:space="preserve">Mobil/kolay başvuru</t>
  </si>
  <si>
    <t xml:space="preserve">https://hokify.at/</t>
  </si>
  <si>
    <t xml:space="preserve">dm gibi perakendeciler</t>
  </si>
  <si>
    <t xml:space="preserve">Firma kariyer sayfaları</t>
  </si>
  <si>
    <t xml:space="preserve">Red Bull, Palfinger, Porsche, SPAR ICS, KTM…</t>
  </si>
  <si>
    <t xml:space="preserve">(Firmalar sayfası)</t>
  </si>
  <si>
    <t xml:space="preserve">Doğrudan alarm kur</t>
  </si>
  <si>
    <t xml:space="preserve">Önerilen arama kelimeleri</t>
  </si>
  <si>
    <t xml:space="preserve">•</t>
  </si>
  <si>
    <t xml:space="preserve">Informationssicherheit / Information Security Manager / ISMS</t>
  </si>
  <si>
    <t xml:space="preserve">IT-Leiter / IT-Teamleiter / Head of IT</t>
  </si>
  <si>
    <t xml:space="preserve">IT Operations Manager / Infrastructure Operations</t>
  </si>
  <si>
    <t xml:space="preserve">Systemadministrator / System Engineer Windows</t>
  </si>
  <si>
    <t xml:space="preserve">IT Service Manager / ITIL</t>
  </si>
  <si>
    <t xml:space="preserve">ISO 27001 / NIS-2 / DORA</t>
  </si>
  <si>
    <t xml:space="preserve">English speaking IT Salzburg</t>
  </si>
  <si>
    <t xml:space="preserve">Beceri Boşlukları ve Aksiyon Planı</t>
  </si>
  <si>
    <t xml:space="preserve">Boşluk / konu</t>
  </si>
  <si>
    <t xml:space="preserve">Hangi ilanlarda çıkıyor</t>
  </si>
  <si>
    <t xml:space="preserve">Aksiyon</t>
  </si>
  <si>
    <t xml:space="preserve">Süre</t>
  </si>
  <si>
    <t xml:space="preserve">Almanca seviyesi (CV'de ‘Elementary’ yazıyor, gerçek B1/B2)</t>
  </si>
  <si>
    <t xml:space="preserve">Kritik</t>
  </si>
  <si>
    <t xml:space="preserve">İlanların ~%70'i Almanca; birçoğu ‘sehr gute Deutschkenntnisse’ (C1) istiyor</t>
  </si>
  <si>
    <t xml:space="preserve">CV'yi HEMEN güncelle: ‘German – B1/B2 (C1 in progress)’. ÖSD/Goethe B2 sertifikası al, C1 kursuna başla (AMS/WIFI/BFI finansmanı sor)</t>
  </si>
  <si>
    <t xml:space="preserve">1–2 hafta (CV) / 6–9 ay (C1)</t>
  </si>
  <si>
    <t xml:space="preserve">Almanca CV (Lebenslauf) + Anschreiben</t>
  </si>
  <si>
    <t xml:space="preserve">Almanca ilanlarda Almanca başvuru belgeleri beklenir</t>
  </si>
  <si>
    <t xml:space="preserve">Avusturya formatında Almanca CV (fotoğraf opsiyonel ama yaygın) + İngilizce CV</t>
  </si>
  <si>
    <t xml:space="preserve">1 hafta</t>
  </si>
  <si>
    <t xml:space="preserve">Microsoft Cloud (Azure, Entra ID, M365, Intune)</t>
  </si>
  <si>
    <t xml:space="preserve">Yüksek</t>
  </si>
  <si>
    <t xml:space="preserve">Palfinger, Salzburg AG, Schulmeister, CANCOM, Lagermax, TNT ilanlarında</t>
  </si>
  <si>
    <t xml:space="preserve">AZ-104 (Azure Administrator) → SC-300 (Identity) veya AZ-500 (Security); M365: MS-102</t>
  </si>
  <si>
    <t xml:space="preserve">2–4 ay</t>
  </si>
  <si>
    <t xml:space="preserve">ISO 27001:2022 Lead Auditor / Lead Implementer</t>
  </si>
  <si>
    <t xml:space="preserve">Mevcut: İç denetçi. Remote denetçi rolleri + ISMS Manager ilanlarında LA/LI isteniyor</t>
  </si>
  <si>
    <t xml:space="preserve">TÜV AUSTRIA ‘ISMS-Manager &amp; Auditor ISO 27001’ (Eyl–Ara 2026 tarihleri) veya PECB/BSI ISO 27001 Lead Auditor</t>
  </si>
  <si>
    <t xml:space="preserve">1–2 ay</t>
  </si>
  <si>
    <t xml:space="preserve">NIS-2 / DORA / TISAX bilgisi</t>
  </si>
  <si>
    <t xml:space="preserve">Salzburg AG, HAI, Spängler, AMAG ilanlarında</t>
  </si>
  <si>
    <t xml:space="preserve">NIS-2 &amp; DORA online kursları; ISO 27001 ↔ NIS-2 eşleştirme notu hazırla (mülakatta çok etkili)</t>
  </si>
  <si>
    <t xml:space="preserve">2–4 hafta</t>
  </si>
  <si>
    <t xml:space="preserve">PowerShell / otomasyon</t>
  </si>
  <si>
    <t xml:space="preserve">Orta</t>
  </si>
  <si>
    <t xml:space="preserve">dm, RAITEC, Lagermax, Uni Salzburg ilanlarında</t>
  </si>
  <si>
    <t xml:space="preserve">PowerShell ile AD/raporlama otomasyonu – GitHub'da 2-3 örnek script</t>
  </si>
  <si>
    <t xml:space="preserve">SIEM / SOC / EDR uygulama deneyimi (cyber rollerinin çoğunda)</t>
  </si>
  <si>
    <t xml:space="preserve">SPAR ICS SOC, Porsche Cyber Defense Center, Otto (SIEM), SOC Analyst, x-tention, Red Bull Incident Mgmt</t>
  </si>
  <si>
    <t xml:space="preserve">Microsoft SC-200 (Sentinel/Defender) + ev laboratuvarı (Wazuh / Elastic SIEM); olay müdahale runbook örnekleri hazırla</t>
  </si>
  <si>
    <t xml:space="preserve">2–3 ay</t>
  </si>
  <si>
    <t xml:space="preserve">CISM veya CISSP (güvenlik yöneticisi sertifikası)</t>
  </si>
  <si>
    <t xml:space="preserve">Salzburg AG InfoSec Manager (CISSP/CISM/CISA tercih), CISO / Teamleitung Cyber Security, KERN, KPMG</t>
  </si>
  <si>
    <t xml:space="preserve">ISMS yönetici geçmişine en uygun: ISACA CISM (deneyim şartı zaten karşılanıyor); uzun vadede CISSP</t>
  </si>
  <si>
    <t xml:space="preserve">3–4 ay</t>
  </si>
  <si>
    <t xml:space="preserve">VMware / Enterprise storage</t>
  </si>
  <si>
    <t xml:space="preserve">conova</t>
  </si>
  <si>
    <t xml:space="preserve">VMware vSphere temel eğitim; Hyper-V/Proxmox deneyimini öne çıkar</t>
  </si>
  <si>
    <t xml:space="preserve">1 ay</t>
  </si>
  <si>
    <t xml:space="preserve">Kariyer boşluğu 2023–2026</t>
  </si>
  <si>
    <t xml:space="preserve">CV'de açıklanmamış</t>
  </si>
  <si>
    <t xml:space="preserve">‘Relocation to Austria, German language training, certifications’ şeklinde açıkla</t>
  </si>
  <si>
    <t xml:space="preserve">Hemen</t>
  </si>
  <si>
    <t xml:space="preserve">‘Head/CISO’ unvanı eksikliği</t>
  </si>
  <si>
    <t xml:space="preserve">Düşük</t>
  </si>
  <si>
    <t xml:space="preserve">KTM, CISO ilanları</t>
  </si>
  <si>
    <t xml:space="preserve">Inditex'teki 17.000 cihaz / 200+ mağaza sorumluluğunu ölçülebilir başarılarla anlat</t>
  </si>
  <si>
    <t xml:space="preserve">Linux (sadece eğitim)</t>
  </si>
  <si>
    <t xml:space="preserve">Salzburg AG (RHEL), Wüstenrot</t>
  </si>
  <si>
    <t xml:space="preserve">LFCS / RHCSA temel seviye veya Proxmox/Linux lab</t>
  </si>
  <si>
    <t xml:space="preserve">4 HAFTALIK BAŞVURU PLANI</t>
  </si>
  <si>
    <t xml:space="preserve">Hafta 1</t>
  </si>
  <si>
    <t xml:space="preserve">CV'yi güncelle (Almanca B1/B2, kariyer boşluğu, ölçülebilir başarılar) · Almanca + İngilizce CV · Schulmeister, epunkt, TECHSEARCH, GOiNTERIM'e CV gönder · AMS kaydı</t>
  </si>
  <si>
    <t xml:space="preserve">Hafta 1–2</t>
  </si>
  <si>
    <t xml:space="preserve">‘A – Hemen başvur’ listesindeki tüm ilanlar (önce İngilizce roller: Palfinger, Red Bull) · her ilan için linkten güncellik kontrolü</t>
  </si>
  <si>
    <t xml:space="preserve">Hafta 2–3</t>
  </si>
  <si>
    <t xml:space="preserve">‘B – Başvur’ listesi · SPAR ICS, Porsche, Salzburg AG, Wüstenrot'a açık başvuru · Inditex Türkiye ağından referans</t>
  </si>
  <si>
    <t xml:space="preserve">Hafta 3–4</t>
  </si>
  <si>
    <t xml:space="preserve">ISO 27001 Lead Auditor/Implementer eğitimine kayıt · AZ-104 çalışmaya başla · LinkedIn'de Salzburg IT yöneticileriyle bağlantı</t>
  </si>
  <si>
    <t xml:space="preserve">Sürekli</t>
  </si>
  <si>
    <t xml:space="preserve">Portallarda iş alarmları (İş Portalları sayfası) · her hafta bu Excel'i güncelle (Durum/Öncelik)</t>
  </si>
  <si>
    <t xml:space="preserve">Maaş Referansları ve Kaynaklar</t>
  </si>
  <si>
    <t xml:space="preserve">Konu</t>
  </si>
  <si>
    <t xml:space="preserve">Değer</t>
  </si>
  <si>
    <t xml:space="preserve">Kaynak</t>
  </si>
  <si>
    <t xml:space="preserve">IT-Systemadministrator Salzburg – ortalama</t>
  </si>
  <si>
    <t xml:space="preserve">€47.600/yıl (aralık €39.600–56.900)</t>
  </si>
  <si>
    <t xml:space="preserve">StepStone.at (WebSearch özeti, 2026)</t>
  </si>
  <si>
    <t xml:space="preserve">IT Projektmanager Salzburg – ortalama</t>
  </si>
  <si>
    <t xml:space="preserve">€57.700/yıl (aralık €50.300–69.300)</t>
  </si>
  <si>
    <t xml:space="preserve">StepStone (WebSearch özeti, 2026)</t>
  </si>
  <si>
    <t xml:space="preserve">IT-Sicherheitsbeauftragter Rosenheim (DE) – ortalama</t>
  </si>
  <si>
    <t xml:space="preserve">€60.600/yıl (aralık €51.900–71.300)</t>
  </si>
  <si>
    <t xml:space="preserve">StepStone.de (WebSearch özeti, 2026)</t>
  </si>
  <si>
    <t xml:space="preserve">IT-Kollektivvertrag 2026</t>
  </si>
  <si>
    <t xml:space="preserve">Minimum maaşlar 01.01.2026'dan itibaren %2,7–3,1 artış; Salzburg dahil</t>
  </si>
  <si>
    <t xml:space="preserve">GPA / WKO – https://www.gpa.at/kollektivvertrag/information-und-consulting/it</t>
  </si>
  <si>
    <t xml:space="preserve">Profile uygun hedef aralık (yönetici/ISMS)</t>
  </si>
  <si>
    <t xml:space="preserve">€55.000–80.000/yıl brüt (14 maaş)</t>
  </si>
  <si>
    <t xml:space="preserve">Bu listedeki ilanlar: Porsche ISO €53,6k+, conova €65k+, Schulmeister €75k+, KTM €81,5k+, TECHSEARCH €5.500–7.200/ay</t>
  </si>
  <si>
    <t xml:space="preserve">Not</t>
  </si>
  <si>
    <t xml:space="preserve">Avusturya'da maaşlar yıllık 14 ödeme üzerinden brüttür; ilanlardaki ‘KV min’ en düşük yasal tutardır, gerçek teklif genelde üstündedir</t>
  </si>
  <si>
    <t xml:space="preserve">Avusturya ilan yasası (Gehaltsangabe zorunluluğu)</t>
  </si>
  <si>
    <t xml:space="preserve">Metodoloji</t>
  </si>
  <si>
    <t xml:space="preserve">• İlanlar 26.09.2026'da WebSearch ile toplandı; 27.09.2026'da HER ilan tek tek yeniden arandı (link + yayın tarihi + kapanış kanıtı).</t>
  </si>
  <si>
    <t xml:space="preserve">• Bu ortam iş sitelerine HTTP erişemiyor (karriere.at, LinkedIn, StepStone, firma siteleri engelli). Bu yüzden bir link ancak TAM URL'si arama sonuçlarında birebir çıktıysa 'doğrulanmış' sayıldı; arama/liste sayfaları ilan linki olarak kabul edilmedi.</t>
  </si>
  <si>
    <t xml:space="preserve">• Tarih tahmini – karriere.at ilan no ölçeği (sabit noktalar: #7375921 = 08.12.2024'te kapandı; #7736975 = 03.02.2026 yayın; #7818677 = 02.06.2026 yayın): ≈ ayda 24.000 numara. ≈7.70M Oca 2026, ≈7.74M Şub, ≈7.78M Nis, ≈7.82M Haz, ≈7.86M Tem 2026; 10.0M+ yeni numaralandırma (en yeni).</t>
  </si>
  <si>
    <t xml:space="preserve">• karriere.sn.at / jobs.salzburg24.at ölçeği: #117240 = Şubat 2026, #118179 = 02.03.2026, ≈#119.5k = Nisan 2026; #110k ≈ 2025; &lt;#80k ≈ 2024 ve öncesi. LinkedIn ilan no: 4168341512 = 17.04.2025, 4461705351 = Eylül 2026.</t>
  </si>
  <si>
    <t xml:space="preserve">• Kural: tahmini yayın &gt; ~4 ay önce ve yeniden yayın kanıtı yoksa 'MUHTEMELEN KAPALI' → Arşiv. Tarih görülmeyen ama işveren sitesinde birebir indeksli ilanlar 'AÇIK OLABİLİR'.</t>
  </si>
  <si>
    <t xml:space="preserve">• Puanlama: 6 kriter × 1–5 puan; ağırlıklar Özet sayfasında düzenlenebilir. Doğrulamada öğrenilen yeni şartlar (ör. Red Bull SIM: 3+ yıl SOC; Palfinger Teamlead: SAP lojistik) puanlara işlendi.</t>
  </si>
  <si>
    <t xml:space="preserve">Arşiv – kapanmış, eski, lokasyonu hatalı veya doğrulanamayan ilanlar</t>
  </si>
  <si>
    <t xml:space="preserve">Bu ilanlara başvurma. İlk sürümdeki hatalı linkler 'Önceki link' sütununda şeffaflık için tutuldu; firmanın güncel ilanları için Firmalar sayfasındaki kariyer linkini kullan.</t>
  </si>
  <si>
    <t xml:space="preserve">Tarih (tahmini)</t>
  </si>
  <si>
    <t xml:space="preserve">Neden / kanıt</t>
  </si>
  <si>
    <t xml:space="preserve">Düzeltilmiş link (varsa)</t>
  </si>
  <si>
    <t xml:space="preserve">Önceki link (ilk sürüm)</t>
  </si>
  <si>
    <t xml:space="preserve">Firma belirtilmemiş (karriere.sn)</t>
  </si>
  <si>
    <t xml:space="preserve">Junior IT Security Consultant (ISMS, mobil çalışma)</t>
  </si>
  <si>
    <t xml:space="preserve">KAPALI</t>
  </si>
  <si>
    <t xml:space="preserve">28.01.2026</t>
  </si>
  <si>
    <t xml:space="preserve">Ocak 2026</t>
  </si>
  <si>
    <t xml:space="preserve">https://karriere.sn.at/job/junior-it-security-consultant-m-w-57213</t>
  </si>
  <si>
    <t xml:space="preserve">Locke and McCloud (müşteri)</t>
  </si>
  <si>
    <t xml:space="preserve">Microsoft 365 &amp; Azure Security Expert:in (Almanca C1+)</t>
  </si>
  <si>
    <t xml:space="preserve">2024</t>
  </si>
  <si>
    <t xml:space="preserve">LinkedIn 2024</t>
  </si>
  <si>
    <t xml:space="preserve">https://at.linkedin.com/jobs/view/mid-senior-level-microsoft-365-azure-security-expert-in-in-salzburg-german-speaking-c1+-at-locke-and-mccloud-3969078683</t>
  </si>
  <si>
    <t xml:space="preserve">Porsche Holding (Porsche Versicherung)</t>
  </si>
  <si>
    <t xml:space="preserve">Local Information Security Officer (w/m/d)</t>
  </si>
  <si>
    <t xml:space="preserve">2023</t>
  </si>
  <si>
    <t xml:space="preserve">2023 ilanı</t>
  </si>
  <si>
    <t xml:space="preserve">https://www.sercanto.at/detail/a/local-information-security-officer-porsche-versicherung-w-m-d_salzburg_50965292</t>
  </si>
  <si>
    <t xml:space="preserve">Porsche Holding GmbH</t>
  </si>
  <si>
    <t xml:space="preserve">Information Security Officer (w/m/d)</t>
  </si>
  <si>
    <t xml:space="preserve">https://at.linkedin.com/jobs/view/information-security-officer-w-m-d-at-porsche-holding-3834467031</t>
  </si>
  <si>
    <t xml:space="preserve">Porsche Informatik GmbH</t>
  </si>
  <si>
    <t xml:space="preserve">karriere.at #7089682 ≈ 2024</t>
  </si>
  <si>
    <t xml:space="preserve">https://www.karriere.at/jobs/7089682</t>
  </si>
  <si>
    <t xml:space="preserve">Platform &amp; Application Security (ISMS / Risk / Awareness)</t>
  </si>
  <si>
    <t xml:space="preserve">Salzburg + Wien</t>
  </si>
  <si>
    <t xml:space="preserve">Ocak 2019</t>
  </si>
  <si>
    <t xml:space="preserve">İlan 2019'dan – önceki listede YANLIŞLIKLA 'doğrula' olarak duruyordu</t>
  </si>
  <si>
    <t xml:space="preserve">https://www.porscheinformatik.com/en/career/jobs/job/9292/</t>
  </si>
  <si>
    <t xml:space="preserve">IT Security Professional</t>
  </si>
  <si>
    <t xml:space="preserve">https://jobs.smartrecruiters.com/RedBull/743999992355016-it-security-professional</t>
  </si>
  <si>
    <t xml:space="preserve">IT Infrastructure Security Consultant</t>
  </si>
  <si>
    <t xml:space="preserve">eski numara biçimi</t>
  </si>
  <si>
    <t xml:space="preserve">Kullanıcı 27.09.2026'da açtı: 'A server application error has occurred' – ilan yayında değil</t>
  </si>
  <si>
    <t xml:space="preserve">https://jobs.redbull.com/at-de/elsbethen-it-infrastructure-security-consultant-139478-056623</t>
  </si>
  <si>
    <t xml:space="preserve">Information Security Expert (ISMS &amp; IT-Prozesse)</t>
  </si>
  <si>
    <t xml:space="preserve">karriere.sn #76780 – eski</t>
  </si>
  <si>
    <t xml:space="preserve">https://karriere.sn.at/job/information-security-expert-m-w-mit-fokus-isms-und-it-prozesse-76780</t>
  </si>
  <si>
    <t xml:space="preserve">Abteilungsleiter/in Klinische IT-Systeme</t>
  </si>
  <si>
    <t xml:space="preserve">08.12.2024</t>
  </si>
  <si>
    <t xml:space="preserve">Başvuru 08.12.2024'te kapandı</t>
  </si>
  <si>
    <t xml:space="preserve">https://www.karriere.at/jobs/7375921</t>
  </si>
  <si>
    <t xml:space="preserve">Identity &amp; Access Management Expert (m/w/d)</t>
  </si>
  <si>
    <t xml:space="preserve">Eski ilan</t>
  </si>
  <si>
    <t xml:space="preserve">https://jobs.salzburg24.at/job/identity-and-access-management-expert-m-w-d-60493</t>
  </si>
  <si>
    <t xml:space="preserve">IT Information Security Manager:in</t>
  </si>
  <si>
    <t xml:space="preserve">karriere.sn #62482 ≈ 2023</t>
  </si>
  <si>
    <t xml:space="preserve">https://karriere.sn.at/job/it-information-security-managerin-62482</t>
  </si>
  <si>
    <t xml:space="preserve">Systems Engineer (all genders)</t>
  </si>
  <si>
    <t xml:space="preserve">j1697 – çok eski</t>
  </si>
  <si>
    <t xml:space="preserve">https://karriere.salzburg-ag.at/Systems-Engineer-all-genders-de-j1697.html</t>
  </si>
  <si>
    <t xml:space="preserve">IT Security Engineer (Smart Meter / PKI-HSM)</t>
  </si>
  <si>
    <t xml:space="preserve">karriere.sn #50364 – eski</t>
  </si>
  <si>
    <t xml:space="preserve">https://karriere.sn.at/job/smart-meter-cyber-security-engineer-w-m-d-50364</t>
  </si>
  <si>
    <t xml:space="preserve">Salzburger Festspiele</t>
  </si>
  <si>
    <t xml:space="preserve">IT System Administrator – Schwerpunkt Netzwerk &amp; Sicherheit</t>
  </si>
  <si>
    <t xml:space="preserve">Başvuru 02.08.2026'da kapandı</t>
  </si>
  <si>
    <t xml:space="preserve">https://jobs.salzburgerfestspiele.at/IT-System-Administrator-mwd-de-j366.html</t>
  </si>
  <si>
    <t xml:space="preserve">Stadt Freilassing (Almanya)</t>
  </si>
  <si>
    <t xml:space="preserve">Freilassing (DE)</t>
  </si>
  <si>
    <t xml:space="preserve">Başvuru 31.10.2025'te kapandı</t>
  </si>
  <si>
    <t xml:space="preserve">https://www.arbeitsagentur.de/jobsuche/jobdetail/10001-1002005166-S</t>
  </si>
  <si>
    <t xml:space="preserve">Stieglbrauerei zu Salzburg</t>
  </si>
  <si>
    <t xml:space="preserve">IT Systems Engineer – Schwerpunkt IT-Security</t>
  </si>
  <si>
    <t xml:space="preserve">2022</t>
  </si>
  <si>
    <t xml:space="preserve">2022 ilanı</t>
  </si>
  <si>
    <t xml:space="preserve">https://karriere.sn.at/job/it-systems-engineer-schwerpunkt-it-security-w-m-d-58708</t>
  </si>
  <si>
    <t xml:space="preserve">IT-Security Engineer – Awareness Training &amp; Security Roadmap</t>
  </si>
  <si>
    <t xml:space="preserve">2025</t>
  </si>
  <si>
    <t xml:space="preserve">2025 ilanı</t>
  </si>
  <si>
    <t xml:space="preserve">https://karriere.sn.at/job/it-security-engineer-awarness-training-and-security-roadmap-109963</t>
  </si>
  <si>
    <t xml:space="preserve">dm drogerie markt GmbH</t>
  </si>
  <si>
    <t xml:space="preserve">IT-Netzwerkadministrator im Bereich Filialnetzwerk</t>
  </si>
  <si>
    <t xml:space="preserve">17.04.2025</t>
  </si>
  <si>
    <t xml:space="preserve">Yayın 17.04.2025</t>
  </si>
  <si>
    <t xml:space="preserve">https://join.com/companies/dm/13999655-it-netzwerkadministrator-im-bereich-filialnetzwerk-w-m-x</t>
  </si>
  <si>
    <t xml:space="preserve">epunkt (müşteri firma)</t>
  </si>
  <si>
    <t xml:space="preserve">(Senior) IT-Systemadministrator (w/m/x)</t>
  </si>
  <si>
    <t xml:space="preserve">Nisan 2025</t>
  </si>
  <si>
    <t xml:space="preserve">Yayın Nisan 2025</t>
  </si>
  <si>
    <t xml:space="preserve">https://job.epunkt.com/stellen/senior-it-systemadministrator-w-m-x-stelle-salzburg-318964-21.html</t>
  </si>
  <si>
    <t xml:space="preserve">Senior Systems Engineer</t>
  </si>
  <si>
    <t xml:space="preserve">MUHTEMELEN KAPALI</t>
  </si>
  <si>
    <t xml:space="preserve">29.12.2025</t>
  </si>
  <si>
    <t xml:space="preserve">29.12.2025'ten beri; önceki link genel sayfaydı</t>
  </si>
  <si>
    <t xml:space="preserve">https://www.acp-gruppe.com/de-at/karriere/salzburg</t>
  </si>
  <si>
    <t xml:space="preserve">Senior System Engineer Microsoft (w/m/*)</t>
  </si>
  <si>
    <t xml:space="preserve">Salzburg / Leonding (remote)</t>
  </si>
  <si>
    <t xml:space="preserve">~Oca 2026</t>
  </si>
  <si>
    <t xml:space="preserve">karriere.at #7728740</t>
  </si>
  <si>
    <t xml:space="preserve">https://www.karriere.at/jobs/7728740</t>
  </si>
  <si>
    <t xml:space="preserve">IT-Systemadministration und Applikationsbetreuung (m/w/x)</t>
  </si>
  <si>
    <t xml:space="preserve">St. Florian am Inn / Linz</t>
  </si>
  <si>
    <t xml:space="preserve">~2024 sonu</t>
  </si>
  <si>
    <t xml:space="preserve">LinkedIn kopyası ~2024 sonu</t>
  </si>
  <si>
    <t xml:space="preserve">https://www.evgroup.com/de/karriere/jobs/it-systemadministration-und-applikationsbetreuung-mwx-1</t>
  </si>
  <si>
    <t xml:space="preserve">Headhunter (uluslararası ticaret &amp; makine grubu)</t>
  </si>
  <si>
    <t xml:space="preserve">Chief Information Security Officer (CISO)</t>
  </si>
  <si>
    <t xml:space="preserve">Şubat 2026</t>
  </si>
  <si>
    <t xml:space="preserve">Şubat 2026 headhunter ilanı</t>
  </si>
  <si>
    <t xml:space="preserve">https://jobs.salzburg24.at/job/chief-information-security-officer-ciso-m-w-117592</t>
  </si>
  <si>
    <t xml:space="preserve">Data Protection Coordinator</t>
  </si>
  <si>
    <t xml:space="preserve">KTM iş no 1004 – Head ilanı (4319) yanında çok eski</t>
  </si>
  <si>
    <t xml:space="preserve">https://jobs.ktm.com/Job/1004</t>
  </si>
  <si>
    <t xml:space="preserve">Lagermax Unternehmensgruppe</t>
  </si>
  <si>
    <t xml:space="preserve">Senior IT System Engineer – Microsoft (IAM)</t>
  </si>
  <si>
    <t xml:space="preserve">Salzburg (Radingerstraße)</t>
  </si>
  <si>
    <t xml:space="preserve">~Şub 2026</t>
  </si>
  <si>
    <t xml:space="preserve">karriere.at #7744079</t>
  </si>
  <si>
    <t xml:space="preserve">https://www.karriere.at/jobs/7744079</t>
  </si>
  <si>
    <t xml:space="preserve">IT-Systemadministrator – Schwerpunkt IT-Sicherheit</t>
  </si>
  <si>
    <t xml:space="preserve">~Kas 2025</t>
  </si>
  <si>
    <t xml:space="preserve">karriere.at #7635471 ≈ Kasım 2025</t>
  </si>
  <si>
    <t xml:space="preserve">https://www.karriere.at/jobs/7635471</t>
  </si>
  <si>
    <t xml:space="preserve">Senior IT Systemadministrator:in (Ref. 2026-13930)</t>
  </si>
  <si>
    <t xml:space="preserve">Salzburg / Wals</t>
  </si>
  <si>
    <t xml:space="preserve">~Mar 2026</t>
  </si>
  <si>
    <t xml:space="preserve">karriere.sn #117951 + LinkedIn ≈ Mart 2026</t>
  </si>
  <si>
    <t xml:space="preserve">https://karriere.sn.at/job/2026-13930-senior-it-systemadministratorin-117951</t>
  </si>
  <si>
    <t xml:space="preserve">NovaTaste Austria GmbH</t>
  </si>
  <si>
    <t xml:space="preserve">Information Security Specialist (w/m/d)</t>
  </si>
  <si>
    <t xml:space="preserve">03.02.2026</t>
  </si>
  <si>
    <t xml:space="preserve">Yayın 03.02.2026</t>
  </si>
  <si>
    <t xml:space="preserve">https://www.karriere.at/jobs/7736975</t>
  </si>
  <si>
    <t xml:space="preserve">PMO Manager ICT</t>
  </si>
  <si>
    <t xml:space="preserve">URL artık Palfinger'in /career-old/ (eski ilan) yolunda</t>
  </si>
  <si>
    <t xml:space="preserve">https://www.palfinger.com/en-us/career/jobs/pmo-manager-ict-m/w/d_k_1731579</t>
  </si>
  <si>
    <t xml:space="preserve">Mitarbeiter Globaler Support ICT (w/m/d)</t>
  </si>
  <si>
    <t xml:space="preserve">SAP kullanıcı desteği/PALSOFT – profile uymuyor; eski ilan ID'si</t>
  </si>
  <si>
    <t xml:space="preserve">https://www.palfinger.com/en/career/jobs/mitarbeiter-globaler-support-ict-w/m/d_k_519132</t>
  </si>
  <si>
    <t xml:space="preserve">Paracelsus Medizinische Privatuniversität (PMU)</t>
  </si>
  <si>
    <t xml:space="preserve">Netzwerk- und Systemadministrator*in</t>
  </si>
  <si>
    <t xml:space="preserve">~Nis/May 2026</t>
  </si>
  <si>
    <t xml:space="preserve">karriere.at #7790513</t>
  </si>
  <si>
    <t xml:space="preserve">https://www.karriere.at/jobs/7790513</t>
  </si>
  <si>
    <t xml:space="preserve">Teamleitung Cyber Defense Center (w/m/d)</t>
  </si>
  <si>
    <t xml:space="preserve">2026 ilk yarı</t>
  </si>
  <si>
    <t xml:space="preserve">2026 ortasında listeden kalktığı bildiriliyor</t>
  </si>
  <si>
    <t xml:space="preserve">https://www.salzburgerjobs.at/jobs/teamleitung-cyber-defense-center-w-m-d,75188</t>
  </si>
  <si>
    <t xml:space="preserve">System Engineer – Windows Server</t>
  </si>
  <si>
    <t xml:space="preserve">İş no 7799, 2019 ilanı olan 9292'den daha küçük</t>
  </si>
  <si>
    <t xml:space="preserve">https://www.porscheinformatik.com/jobs-karriere/aktuelle-stellenangebote/job/7799/</t>
  </si>
  <si>
    <t xml:space="preserve">Network Security Engineer 3rd Level</t>
  </si>
  <si>
    <t xml:space="preserve">LinkedIn kopyası 2024</t>
  </si>
  <si>
    <t xml:space="preserve">https://en.devjobs.at/job/e3b1affb48d145bac5dc3e7d920e8c88</t>
  </si>
  <si>
    <t xml:space="preserve">Mitarbeiter:in IT-Security &amp; Audit-Services (Berechtigungsmanagement)</t>
  </si>
  <si>
    <t xml:space="preserve">~Nis 2026</t>
  </si>
  <si>
    <t xml:space="preserve">karriere.at #7785368 ≈ Nisan 2026; LinkedIn kopyası 2025</t>
  </si>
  <si>
    <t xml:space="preserve">https://www.karriere.at/jobs/7785368</t>
  </si>
  <si>
    <t xml:space="preserve">Team Lead IT Infrastructure Security</t>
  </si>
  <si>
    <t xml:space="preserve">2025 (LinkedIn)</t>
  </si>
  <si>
    <t xml:space="preserve">Eski ref numarası; önceki link yanlış ülke sürümüydü (gb-en)</t>
  </si>
  <si>
    <t xml:space="preserve">https://jobs.redbull.com/at-de/elsbethen-team-lead-infrastructure-security-ref22800c</t>
  </si>
  <si>
    <t xml:space="preserve">https://jobs.redbull.com/gb-en/elsbethen-team-lead-infrastructure-security-ref22800c</t>
  </si>
  <si>
    <t xml:space="preserve">Head of Global IT Network</t>
  </si>
  <si>
    <t xml:space="preserve">eski (ref16219)</t>
  </si>
  <si>
    <t xml:space="preserve">Çok eski ref numarası</t>
  </si>
  <si>
    <t xml:space="preserve">https://jobs.redbull.com/at-de/elsbethen-network-security-manager-ref16219p?lang=en</t>
  </si>
  <si>
    <t xml:space="preserve">IT Service Manager – Crypto Services</t>
  </si>
  <si>
    <t xml:space="preserve">eski (ref22969)</t>
  </si>
  <si>
    <t xml:space="preserve">Eski ref numarası</t>
  </si>
  <si>
    <t xml:space="preserve">https://jobs.redbull.com/at-de/elsbethen-service-manager-crypto-services-ref22969s?lang=en</t>
  </si>
  <si>
    <t xml:space="preserve">IT Application Manager – ITSM</t>
  </si>
  <si>
    <t xml:space="preserve">eski (ref19175)</t>
  </si>
  <si>
    <t xml:space="preserve">https://jobs.redbull.com/at-de/elsbethen-it-application-manager-itsm-ref19175d?lang=en</t>
  </si>
  <si>
    <t xml:space="preserve">Senior IT Systems Engineer – Windows (Windows server security &amp; operations)</t>
  </si>
  <si>
    <t xml:space="preserve">~Şubat 2025</t>
  </si>
  <si>
    <t xml:space="preserve">LinkedIn kopyası Şubat 2025, eski ref (20422); tek indeksli URL us-en sürümüydü</t>
  </si>
  <si>
    <t xml:space="preserve">https://jobs.redbull.com/us-en/elsbethen-it-system-architect-ref20422d</t>
  </si>
  <si>
    <t xml:space="preserve">Cloud Platform Engineer (Teamlead opsiyonlu)</t>
  </si>
  <si>
    <t xml:space="preserve">Gerçek başlık 'Techlead Cloud Platform Engineering'; talep no 2025</t>
  </si>
  <si>
    <t xml:space="preserve">https://www.spar-ics.com/de/career/offene-stellen-engineering</t>
  </si>
  <si>
    <t xml:space="preserve">IT Security Engineer (SOC) – Detection &amp; Response (m/w/d)</t>
  </si>
  <si>
    <t xml:space="preserve">Salzburg / Wernberg / Wien</t>
  </si>
  <si>
    <t xml:space="preserve">~Şub 2026 (talep no 2025)</t>
  </si>
  <si>
    <t xml:space="preserve">karriere.at #7737818</t>
  </si>
  <si>
    <t xml:space="preserve">https://www.karriere.at/jobs/7737818</t>
  </si>
  <si>
    <t xml:space="preserve">IT Infrastructure Systems Engineer (all genders)</t>
  </si>
  <si>
    <t xml:space="preserve">salzburg24 #118630 ≈ Mart 2026</t>
  </si>
  <si>
    <t xml:space="preserve">https://jobs.salzburg24.at/job/it-infrastructure-systems-engineer-all-genders-118630</t>
  </si>
  <si>
    <t xml:space="preserve">Systemadministrator:in Leitsysteme</t>
  </si>
  <si>
    <t xml:space="preserve">j2363 – Salzburg AG'nin güncel ilanlarından (j2602–j2688) eski</t>
  </si>
  <si>
    <t xml:space="preserve">https://karriere.salzburg-ag.at/Systemadministratorin-Leitsysteme-de-j2363.html</t>
  </si>
  <si>
    <t xml:space="preserve">IT Solution Engineer</t>
  </si>
  <si>
    <t xml:space="preserve">j2405 – eski</t>
  </si>
  <si>
    <t xml:space="preserve">https://karriere.salzburg-ag.at/IT-Solution-Engineer-de-j2405.html</t>
  </si>
  <si>
    <t xml:space="preserve">IT Systems Engineer IAM (Identity &amp; Access Management)</t>
  </si>
  <si>
    <t xml:space="preserve">j2602 / karriere.at #7781270</t>
  </si>
  <si>
    <t xml:space="preserve">https://karriere.salzburg-ag.at/IT-Systems-Engineer-IAM-Identity-and-Access-Management-de-j2602.html</t>
  </si>
  <si>
    <t xml:space="preserve">TNT Personalberatung (müşteri: sanayi firması)</t>
  </si>
  <si>
    <t xml:space="preserve">IT Spezialist (w/m/d)</t>
  </si>
  <si>
    <t xml:space="preserve">karriere.at #7777187</t>
  </si>
  <si>
    <t xml:space="preserve">https://www.karriere.at/jobs/7777187</t>
  </si>
  <si>
    <t xml:space="preserve">Uluslararası firma (jobs.salzburg24 #118179)</t>
  </si>
  <si>
    <t xml:space="preserve">IT System Administrator (f/m/d)</t>
  </si>
  <si>
    <t xml:space="preserve">02.03.2026</t>
  </si>
  <si>
    <t xml:space="preserve">İşveren aslında NovaTaste; yayın 02.03.2026</t>
  </si>
  <si>
    <t xml:space="preserve">https://jobs.salzburg24.at/job/it-system-administrator-f-m-d-1-118179</t>
  </si>
  <si>
    <t xml:space="preserve">IT-Servicemanager*in</t>
  </si>
  <si>
    <t xml:space="preserve">karriere.at #7753049 ≈ Mart 2026</t>
  </si>
  <si>
    <t xml:space="preserve">https://www.karriere.at/jobs/7753049</t>
  </si>
  <si>
    <t xml:space="preserve">Wüstenrot Technology GmbH</t>
  </si>
  <si>
    <t xml:space="preserve">IT Identity &amp; Access Management Engineer</t>
  </si>
  <si>
    <t xml:space="preserve">karriere.at #7741736 ≈ Şubat 2026</t>
  </si>
  <si>
    <t xml:space="preserve">https://www.karriere.at/jobs/7741736</t>
  </si>
  <si>
    <t xml:space="preserve">Identity &amp; Access Manager:in</t>
  </si>
  <si>
    <t xml:space="preserve">karriere.at #7702187 ≈ Ocak 2026</t>
  </si>
  <si>
    <t xml:space="preserve">https://www.karriere.at/jobs/7702187</t>
  </si>
  <si>
    <t xml:space="preserve">RAITEC GmbH (Raiffeisen)</t>
  </si>
  <si>
    <t xml:space="preserve">IT-Engineer für Windows/Active Directory (m/w/d)</t>
  </si>
  <si>
    <t xml:space="preserve">Salzburg? / Linz</t>
  </si>
  <si>
    <t xml:space="preserve">LOKASYON HATALI (Salzburg değil)</t>
  </si>
  <si>
    <t xml:space="preserve">İlan İnnsbruck ve Linz için (Salzburg değil)</t>
  </si>
  <si>
    <t xml:space="preserve">https://www.karriere.at/jobs/7856051</t>
  </si>
  <si>
    <t xml:space="preserve">SCHULMEISTER (müşteri firma)</t>
  </si>
  <si>
    <t xml:space="preserve">Systems Engineer – Microsoft Infrastruktur (AD | Entra ID | PKI)</t>
  </si>
  <si>
    <t xml:space="preserve">İlan LİNZ için (Salzburg değil); maaş ab €63k (önceki listede yanlış €75k)</t>
  </si>
  <si>
    <t xml:space="preserve">https://www.karriere.at/jobs/7835534</t>
  </si>
  <si>
    <t xml:space="preserve">AMAG Austria Metall AG</t>
  </si>
  <si>
    <t xml:space="preserve">Infrastruktur und Security Operator (m/w/x)</t>
  </si>
  <si>
    <t xml:space="preserve">DOĞRULANAMADI</t>
  </si>
  <si>
    <t xml:space="preserve">İlan bulunamadı</t>
  </si>
  <si>
    <t xml:space="preserve">https://www.stepstone.at/stellenangebote--Infrastruktur-und-Security-Operator-m-w-x-Ranshofen-AMAG-Austria-Metall-AG--660825-inline.html</t>
  </si>
  <si>
    <t xml:space="preserve">BECK Fastening GmbH</t>
  </si>
  <si>
    <t xml:space="preserve">Braunau bölgesi (OÖ)</t>
  </si>
  <si>
    <t xml:space="preserve">Link arama sayfasıydı</t>
  </si>
  <si>
    <t xml:space="preserve">https://www.karriere.at/jobs/manager/braunau-am-inn-bezirk</t>
  </si>
  <si>
    <t xml:space="preserve">Mitarbeiter:in IKT Governance &amp; Resilience (DORA)</t>
  </si>
  <si>
    <t xml:space="preserve">İlan URL'si yok, sadece kariyer sayfası</t>
  </si>
  <si>
    <t xml:space="preserve">Bau | Holz | Immobilien Hillebrand</t>
  </si>
  <si>
    <t xml:space="preserve">(Junior) IT-Systemadministrator (w/m/d)</t>
  </si>
  <si>
    <t xml:space="preserve">Bruck a. d. Glocknerstraße / St. Johann</t>
  </si>
  <si>
    <t xml:space="preserve">https://www.karriere.at/jobs/it/zell-am-see-bezirk</t>
  </si>
  <si>
    <t xml:space="preserve">Senior F5 Security Engineer</t>
  </si>
  <si>
    <t xml:space="preserve">Salzburg / AT</t>
  </si>
  <si>
    <t xml:space="preserve">Danışmanlık firması (çoklu lokasyon)</t>
  </si>
  <si>
    <t xml:space="preserve">Security Strategy / (C)ISO Advisory</t>
  </si>
  <si>
    <t xml:space="preserve">Salzburg (+Wien, Graz, Linz, Innsbruck, Klagenfurt)</t>
  </si>
  <si>
    <t xml:space="preserve">Firma yok, link arama sayfası</t>
  </si>
  <si>
    <t xml:space="preserve">https://www.karriere.at/jobs/it-security/salzburg</t>
  </si>
  <si>
    <t xml:space="preserve">Erzdiözese Salzburg</t>
  </si>
  <si>
    <t xml:space="preserve">Netzwerkadministrator/in (19–38 saat)</t>
  </si>
  <si>
    <t xml:space="preserve">EDS güncel ilan listesinde bulunamadı</t>
  </si>
  <si>
    <t xml:space="preserve">https://eds.at/personal/jobangebote</t>
  </si>
  <si>
    <t xml:space="preserve">Finans hizmetleri firması (Salzburg)</t>
  </si>
  <si>
    <t xml:space="preserve">IT Senior Network &amp; Security Engineer</t>
  </si>
  <si>
    <t xml:space="preserve">https://www.stepstone.at/jobs/it-sicherheit/in-salzburg</t>
  </si>
  <si>
    <t xml:space="preserve">Firma belirtilmemiş</t>
  </si>
  <si>
    <t xml:space="preserve">https://www.jobs.at/j/it-techniker/wals-siezenheim</t>
  </si>
  <si>
    <t xml:space="preserve">Firma belirtilmemiş (DER STANDARD)</t>
  </si>
  <si>
    <t xml:space="preserve">IT-Systemadministrator:in (m/w/d)</t>
  </si>
  <si>
    <t xml:space="preserve">5020 Salzburg</t>
  </si>
  <si>
    <t xml:space="preserve">Firma yok</t>
  </si>
  <si>
    <t xml:space="preserve">https://jobs.derstandard.at/detail/b41a48fc-460c-32e1-9d99-e90f4df73fdf</t>
  </si>
  <si>
    <t xml:space="preserve">Firma belirtilmemiş (Jooble)</t>
  </si>
  <si>
    <t xml:space="preserve">Teamleitung Cyber Security (w/m/x)</t>
  </si>
  <si>
    <t xml:space="preserve">Sadece aggregator, firma yok</t>
  </si>
  <si>
    <t xml:space="preserve">https://at.jooble.org/jdp/4838579151382969489/Teamleitung-Cyber-Security-(w/m/x)-Salzburg-(Stadt)</t>
  </si>
  <si>
    <t xml:space="preserve">Firma belirtilmemiş (karriere.at)</t>
  </si>
  <si>
    <t xml:space="preserve">IT-Stelle Hallein (Vollzeit)</t>
  </si>
  <si>
    <t xml:space="preserve">Hallein</t>
  </si>
  <si>
    <t xml:space="preserve">https://www.karriere.at/jobs/it/hallein-bezirk</t>
  </si>
  <si>
    <t xml:space="preserve">SOC Analyst</t>
  </si>
  <si>
    <t xml:space="preserve">https://www.karriere.at/jobs/soc-analyst</t>
  </si>
  <si>
    <t xml:space="preserve">Firma belirtilmemiş (stepstone)</t>
  </si>
  <si>
    <t xml:space="preserve">IT-Infrastrukturprojekte – Steuerung &amp; Koordination</t>
  </si>
  <si>
    <t xml:space="preserve">https://www.stepstone.de/jobs/it-projektmanager/in-salzburg</t>
  </si>
  <si>
    <t xml:space="preserve">Firma belirtilmemiş (stepstone/karriere)</t>
  </si>
  <si>
    <t xml:space="preserve">Senior Windows Systemadministrator (38,5 s)</t>
  </si>
  <si>
    <t xml:space="preserve">https://www.stepstone.at/jobs/it-systemadministrator-in/in-salzburg</t>
  </si>
  <si>
    <t xml:space="preserve">Hagleitner Hygiene International</t>
  </si>
  <si>
    <t xml:space="preserve">IT-Techniker (Zell am See)</t>
  </si>
  <si>
    <t xml:space="preserve">Zell am See</t>
  </si>
  <si>
    <t xml:space="preserve">https://www.jobs.at/j/it-techniker/zell-am-see-bezirk</t>
  </si>
  <si>
    <t xml:space="preserve">Intelance (UK)</t>
  </si>
  <si>
    <t xml:space="preserve">Lead ISO 27001 Implementer &amp; Auditor</t>
  </si>
  <si>
    <t xml:space="preserve">Link Glassdoor arama sayfasıydı</t>
  </si>
  <si>
    <t xml:space="preserve">https://www.glassdoor.com/Job/remote-iso-27001-lead-auditor-jobs-SRCH_IL.0,6_IS11047_KO7,29.htm</t>
  </si>
  <si>
    <t xml:space="preserve">Manpower (müşteri firma)</t>
  </si>
  <si>
    <t xml:space="preserve">IT-Administrator</t>
  </si>
  <si>
    <t xml:space="preserve">Link arama sayfası</t>
  </si>
  <si>
    <t xml:space="preserve">Security Engineer</t>
  </si>
  <si>
    <t xml:space="preserve">Salzburg (remote)</t>
  </si>
  <si>
    <t xml:space="preserve">Link arama sayfasıydı (NTS satırı 124'te)</t>
  </si>
  <si>
    <t xml:space="preserve">https://www.karriere.at/jobs/nts</t>
  </si>
  <si>
    <t xml:space="preserve">NetCon Bürotechnik GmbH</t>
  </si>
  <si>
    <t xml:space="preserve">Braunau (OÖ)</t>
  </si>
  <si>
    <t xml:space="preserve">https://www.karriere.at/jobs/it-techniker/braunau-am-inn-bezirk</t>
  </si>
  <si>
    <t xml:space="preserve">Application Security Service Manager</t>
  </si>
  <si>
    <t xml:space="preserve">Sadece aggregator kopyaları bulundu</t>
  </si>
  <si>
    <t xml:space="preserve">https://freehire.me/jobs/application-security-service-manager-red-bull-2zaaqage</t>
  </si>
  <si>
    <t xml:space="preserve">Rosewood Schloss Fuschl</t>
  </si>
  <si>
    <t xml:space="preserve">Information Technology Supervisor</t>
  </si>
  <si>
    <t xml:space="preserve">Fuschl am See</t>
  </si>
  <si>
    <t xml:space="preserve">Otelde IT ilanı bulunamadı</t>
  </si>
  <si>
    <t xml:space="preserve">IT-Kundenservice / 1st-Level Support</t>
  </si>
  <si>
    <t xml:space="preserve">Link genel iş sayfasıydı</t>
  </si>
  <si>
    <t xml:space="preserve">Techlead Database Platform</t>
  </si>
  <si>
    <t xml:space="preserve">Salzburg / Wien / Wernberg</t>
  </si>
  <si>
    <t xml:space="preserve">IT Support Engineer SAP Retail MM/SD</t>
  </si>
  <si>
    <t xml:space="preserve">https://www.spar-ics.com/de/career/offene-stellen-operating</t>
  </si>
  <si>
    <t xml:space="preserve">IT Service Management Support (Telekom / kritik altyapı)</t>
  </si>
  <si>
    <t xml:space="preserve">İlan URL'si hiç bulunamadı; önceki link Salzburg AG ana sayfasıydı</t>
  </si>
  <si>
    <t xml:space="preserve">https://karriere.salzburg-ag.at/</t>
  </si>
  <si>
    <t xml:space="preserve">Sheraton Grand Salzburg (Marriott)</t>
  </si>
  <si>
    <t xml:space="preserve">IT Manager / IT Supervisor (otel)</t>
  </si>
  <si>
    <t xml:space="preserve">https://www.hotelcareer.com/jobs/sheraton-grand-salzburg-2983</t>
  </si>
  <si>
    <t xml:space="preserve">Stadt Salzburg (Magistrat)</t>
  </si>
  <si>
    <t xml:space="preserve">Systemadministrator:in (m/w/d)</t>
  </si>
  <si>
    <t xml:space="preserve">Stadt Salzburg portalında teyit edilemedi</t>
  </si>
  <si>
    <t xml:space="preserve">https://www.glassdoor.com/Jobs/Magistratsdirektion-der-Stadt-Salzburg-Jobs-E1067604.htm</t>
  </si>
  <si>
    <t xml:space="preserve">Uluslararası finans hizmetleri firması</t>
  </si>
  <si>
    <t xml:space="preserve">IT Risk Manager (IKT-Risikomanagement / DORA)</t>
  </si>
  <si>
    <t xml:space="preserve">Salzburg veya Wien</t>
  </si>
  <si>
    <t xml:space="preserve">https://www.karriere.at/jobs/it-risk-manager</t>
  </si>
  <si>
    <t xml:space="preserve">Uluslararası standart &amp; sertifikasyon firması (remote)</t>
  </si>
  <si>
    <t xml:space="preserve">ISO 27001 Information Security Auditor (Lead) – remote</t>
  </si>
  <si>
    <t xml:space="preserve">Remote (Almanya/Avrupa)</t>
  </si>
  <si>
    <t xml:space="preserve">Sadece aggregator</t>
  </si>
  <si>
    <t xml:space="preserve">https://www.jobleads.com/us/job/remote-iso-27001-information-security-auditor-lead--germany--e8a052393e242a1213a6a62bbe0cefa3c</t>
  </si>
  <si>
    <t xml:space="preserve">Wenatex Das Schlafsystem GmbH</t>
  </si>
  <si>
    <t xml:space="preserve">IT Systemadministrator / IT-Systems-Engineer IT-Security</t>
  </si>
  <si>
    <t xml:space="preserve">Güncel ilan bulunamadı</t>
  </si>
  <si>
    <t xml:space="preserve">https://devjobs.at/job/01712467fcc0db6a961316f50eac7261</t>
  </si>
  <si>
    <t xml:space="preserve">IT Service &amp; Support – Infrastruktur und Expansion</t>
  </si>
  <si>
    <t xml:space="preserve">https://hokify.at/job/20167057</t>
  </si>
  <si>
    <t xml:space="preserve">IT-Netzwerktechniker:in</t>
  </si>
  <si>
    <t xml:space="preserve">https://join.com/companies/dm/13823701-it-netzwerktechniker-in</t>
  </si>
  <si>
    <t xml:space="preserve">IT-Systemspezialist – Schwerpunkt IP-Telefonie</t>
  </si>
  <si>
    <t xml:space="preserve">https://join.com/companies/dm/13093211-it-systemspezialist-w-m-x-schwerpunkt-ip-telefonie</t>
  </si>
  <si>
    <t xml:space="preserve">IT-Systemadministrator (w/m/d) – Tennengau</t>
  </si>
  <si>
    <t xml:space="preserve">Tennengau / Hallein</t>
  </si>
  <si>
    <t xml:space="preserve">https://www.karriere.at/jobs/it-techniker/tennengau</t>
  </si>
  <si>
    <t xml:space="preserve">telacc GmbH</t>
  </si>
  <si>
    <t xml:space="preserve">IT-Support / Systemadministrator</t>
  </si>
  <si>
    <t xml:space="preserve">https://www.jobijoba.de/detailanzeige/9/339e81611f4c3deb6bd9e30c02325f5f</t>
  </si>
  <si>
    <t xml:space="preserve">Senior Information Security Consultant</t>
  </si>
  <si>
    <t xml:space="preserve">https://www.karriere.at/jobs/information-security/salzburg</t>
  </si>
  <si>
    <t xml:space="preserve">ÖWD Security &amp; Services</t>
  </si>
  <si>
    <t xml:space="preserve">IT Core Services (Netzwerk, Server, Storage, Virtualisierung, O365/Azure)</t>
  </si>
  <si>
    <t xml:space="preserve">Link firma sayfasıydı, ilan teyit edilemedi</t>
  </si>
  <si>
    <t xml:space="preserve">https://www.karriere.at/f/%C3%B6wd-security-services</t>
  </si>
  <si>
    <t xml:space="preserve">IT / Store Tech rolleri (açık başvuru)</t>
  </si>
  <si>
    <t xml:space="preserve">İLAN DEĞİL (açık başvuru)</t>
  </si>
  <si>
    <t xml:space="preserve">Açık başvuru – Firmalar sayfasına taşındı</t>
  </si>
  <si>
    <t xml:space="preserve">IT / Cyber Security (açık başvuru)</t>
  </si>
  <si>
    <t xml:space="preserve">Açık başvuru – Firmalar sayfasında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</si>
</sst>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0"/>
    <numFmt numFmtId="167" formatCode="General"/>
    <numFmt numFmtId="168" formatCode="0.000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color rgb="FF808080"/>
      <name val="Arial"/>
      <family val="0"/>
      <charset val="1"/>
    </font>
    <font>
      <b val="true"/>
      <u val="single"/>
      <sz val="10"/>
      <color rgb="FF0563C1"/>
      <name val="Arial"/>
      <family val="0"/>
      <charset val="1"/>
    </font>
    <font>
      <sz val="10"/>
      <name val="Arial"/>
      <family val="2"/>
    </font>
    <font>
      <sz val="10"/>
      <color rgb="FF00000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u val="single"/>
      <sz val="10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2F5597"/>
        <bgColor rgb="FF0563C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8BCA7E"/>
          <bgColor rgb="FF000000"/>
        </patternFill>
      </fill>
    </dxf>
    <dxf>
      <fill>
        <patternFill patternType="solid">
          <fgColor rgb="FFA2D17F"/>
          <bgColor rgb="FF000000"/>
        </patternFill>
      </fill>
    </dxf>
    <dxf>
      <fill>
        <patternFill patternType="solid">
          <fgColor rgb="FFAAD380"/>
          <bgColor rgb="FF000000"/>
        </patternFill>
      </fill>
    </dxf>
    <dxf>
      <fill>
        <patternFill patternType="solid">
          <fgColor rgb="FFB1D580"/>
          <bgColor rgb="FF000000"/>
        </patternFill>
      </fill>
    </dxf>
    <dxf>
      <fill>
        <patternFill patternType="solid">
          <fgColor rgb="FFB9D780"/>
          <bgColor rgb="FF000000"/>
        </patternFill>
      </fill>
    </dxf>
    <dxf>
      <fill>
        <patternFill patternType="solid">
          <fgColor rgb="FFC9DC81"/>
          <bgColor rgb="FF000000"/>
        </patternFill>
      </fill>
    </dxf>
    <dxf>
      <fill>
        <patternFill patternType="solid">
          <fgColor rgb="FFD1DE82"/>
          <bgColor rgb="FF000000"/>
        </patternFill>
      </fill>
    </dxf>
    <dxf>
      <fill>
        <patternFill patternType="solid">
          <fgColor rgb="FFD8E082"/>
          <bgColor rgb="FF000000"/>
        </patternFill>
      </fill>
    </dxf>
    <dxf>
      <fill>
        <patternFill patternType="solid">
          <fgColor rgb="FFE0E283"/>
          <bgColor rgb="FF000000"/>
        </patternFill>
      </fill>
    </dxf>
    <dxf>
      <fill>
        <patternFill patternType="solid">
          <fgColor rgb="FFE8E583"/>
          <bgColor rgb="FF000000"/>
        </patternFill>
      </fill>
    </dxf>
    <dxf>
      <fill>
        <patternFill patternType="solid">
          <fgColor rgb="FFF0E784"/>
          <bgColor rgb="FF000000"/>
        </patternFill>
      </fill>
    </dxf>
    <dxf>
      <fill>
        <patternFill patternType="solid">
          <fgColor rgb="FFF8E984"/>
          <bgColor rgb="FF000000"/>
        </patternFill>
      </fill>
    </dxf>
    <dxf>
      <fill>
        <patternFill patternType="solid">
          <fgColor rgb="FFFA9673"/>
          <bgColor rgb="FF000000"/>
        </patternFill>
      </fill>
    </dxf>
    <dxf>
      <fill>
        <patternFill patternType="solid">
          <fgColor rgb="FFFBAA77"/>
          <bgColor rgb="FF000000"/>
        </patternFill>
      </fill>
    </dxf>
    <dxf>
      <fill>
        <patternFill patternType="solid">
          <fgColor rgb="FFFCB77A"/>
          <bgColor rgb="FF000000"/>
        </patternFill>
      </fill>
    </dxf>
    <dxf>
      <fill>
        <patternFill patternType="solid">
          <fgColor rgb="FFFCBD7B"/>
          <bgColor rgb="FF000000"/>
        </patternFill>
      </fill>
    </dxf>
    <dxf>
      <fill>
        <patternFill patternType="solid">
          <fgColor rgb="FFFDCA7D"/>
          <bgColor rgb="FF000000"/>
        </patternFill>
      </fill>
    </dxf>
    <dxf>
      <fill>
        <patternFill patternType="solid">
          <fgColor rgb="FFFDD17F"/>
          <bgColor rgb="FF000000"/>
        </patternFill>
      </fill>
    </dxf>
    <dxf>
      <fill>
        <patternFill patternType="solid">
          <fgColor rgb="FFFDD780"/>
          <bgColor rgb="FF000000"/>
        </patternFill>
      </fill>
    </dxf>
    <dxf>
      <fill>
        <patternFill patternType="solid">
          <fgColor rgb="FFFEDE81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2F2F2"/>
        </patternFill>
      </fill>
    </dxf>
    <dxf>
      <fill>
        <patternFill>
          <bgColor rgb="FFDDEBF7"/>
        </patternFill>
      </fill>
    </dxf>
    <dxf>
      <fill>
        <patternFill>
          <bgColor rgb="FF63BE7B"/>
        </patternFill>
      </fill>
    </dxf>
    <dxf>
      <fill>
        <patternFill>
          <bgColor rgb="FFFCE4D6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EDEDED"/>
        </patternFill>
      </fill>
    </dxf>
    <dxf>
      <fill>
        <patternFill patternType="solid">
          <fgColor rgb="FFFFEB84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8CBA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EDEDE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CE4D6"/>
      <rgbColor rgb="FFCC99FF"/>
      <rgbColor rgb="FFF8CBAD"/>
      <rgbColor rgb="FF3366FF"/>
      <rgbColor rgb="FF63BE7B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www.palfinger.com/en-mx/career/jobs/infrastructure-operations-manager-m/f/d_k_876428" TargetMode="External"/><Relationship Id="rId3" Type="http://schemas.openxmlformats.org/officeDocument/2006/relationships/hyperlink" Target="https://jobs.palfinger.com/en-us" TargetMode="External"/><Relationship Id="rId4" Type="http://schemas.openxmlformats.org/officeDocument/2006/relationships/hyperlink" Target="https://jobs.palfinger.com/en-us" TargetMode="External"/><Relationship Id="rId5" Type="http://schemas.openxmlformats.org/officeDocument/2006/relationships/hyperlink" Target="https://www.wuestenrot.at/de/ueber-uns/karriere/offene-stellen/information-security-manager-in-m-w-d.html" TargetMode="External"/><Relationship Id="rId6" Type="http://schemas.openxmlformats.org/officeDocument/2006/relationships/hyperlink" Target="https://www.wuestenrot.at/de/ueber-uns/karriere/offene-stellen.html" TargetMode="External"/><Relationship Id="rId7" Type="http://schemas.openxmlformats.org/officeDocument/2006/relationships/hyperlink" Target="https://job-boards.greenhouse.io/insightassurance/jobs/5032616008" TargetMode="External"/><Relationship Id="rId8" Type="http://schemas.openxmlformats.org/officeDocument/2006/relationships/hyperlink" Target="https://job-boards.greenhouse.io/insightassurance" TargetMode="External"/><Relationship Id="rId9" Type="http://schemas.openxmlformats.org/officeDocument/2006/relationships/hyperlink" Target="https://www.palfinger.com/en-us/career/jobs/it-project-manager-w/m/d_k_1736785" TargetMode="External"/><Relationship Id="rId10" Type="http://schemas.openxmlformats.org/officeDocument/2006/relationships/hyperlink" Target="https://jobs.palfinger.com/en-us" TargetMode="External"/><Relationship Id="rId11" Type="http://schemas.openxmlformats.org/officeDocument/2006/relationships/hyperlink" Target="https://jobs.palfinger.com/en-us" TargetMode="External"/><Relationship Id="rId12" Type="http://schemas.openxmlformats.org/officeDocument/2006/relationships/hyperlink" Target="https://jobs.smartrecruiters.com/RedBull/744000131403389-service-manager-server-cloud-security" TargetMode="External"/><Relationship Id="rId13" Type="http://schemas.openxmlformats.org/officeDocument/2006/relationships/hyperlink" Target="https://jobs.redbull.com/" TargetMode="External"/><Relationship Id="rId14" Type="http://schemas.openxmlformats.org/officeDocument/2006/relationships/hyperlink" Target="https://www.wuestenrot.at/de/ueber-uns/karriere/offene-stellen/experte-in-information-security-m-w-d.html" TargetMode="External"/><Relationship Id="rId15" Type="http://schemas.openxmlformats.org/officeDocument/2006/relationships/hyperlink" Target="https://www.wuestenrot.at/de/ueber-uns/karriere/offene-stellen.html" TargetMode="External"/><Relationship Id="rId16" Type="http://schemas.openxmlformats.org/officeDocument/2006/relationships/hyperlink" Target="https://job-boards.greenhouse.io/insightassurance/jobs/5032737008" TargetMode="External"/><Relationship Id="rId17" Type="http://schemas.openxmlformats.org/officeDocument/2006/relationships/hyperlink" Target="https://job-boards.greenhouse.io/insightassurance" TargetMode="External"/><Relationship Id="rId18" Type="http://schemas.openxmlformats.org/officeDocument/2006/relationships/hyperlink" Target="https://www.it-career.at/68428/0/Information-Security-Consultant-(w-m-d)" TargetMode="External"/><Relationship Id="rId19" Type="http://schemas.openxmlformats.org/officeDocument/2006/relationships/hyperlink" Target="https://www.kern-partner.at/jobs.html" TargetMode="External"/><Relationship Id="rId20" Type="http://schemas.openxmlformats.org/officeDocument/2006/relationships/hyperlink" Target="https://www.kern-partner.at/jobs.html" TargetMode="External"/><Relationship Id="rId21" Type="http://schemas.openxmlformats.org/officeDocument/2006/relationships/hyperlink" Target="https://www.karriere.at/jobs/senoplast" TargetMode="External"/><Relationship Id="rId22" Type="http://schemas.openxmlformats.org/officeDocument/2006/relationships/hyperlink" Target="https://www.karriere.at/jobs/senoplast" TargetMode="External"/><Relationship Id="rId23" Type="http://schemas.openxmlformats.org/officeDocument/2006/relationships/hyperlink" Target="https://www.techsearch.at/jobs/269996-SPTS/it-team-leiter-w-m-d" TargetMode="External"/><Relationship Id="rId24" Type="http://schemas.openxmlformats.org/officeDocument/2006/relationships/hyperlink" Target="https://www.karriere.at/jobs/7840112" TargetMode="External"/><Relationship Id="rId25" Type="http://schemas.openxmlformats.org/officeDocument/2006/relationships/hyperlink" Target="https://www.karriere.at/f/techsearch" TargetMode="External"/><Relationship Id="rId26" Type="http://schemas.openxmlformats.org/officeDocument/2006/relationships/hyperlink" Target="https://www.karriere.at/jobs/7762442" TargetMode="External"/><Relationship Id="rId27" Type="http://schemas.openxmlformats.org/officeDocument/2006/relationships/hyperlink" Target="https://www.palfinger.com/worldwide/en/career/jobs/cyber-security-engineer--f-m-d-_8115.html" TargetMode="External"/><Relationship Id="rId28" Type="http://schemas.openxmlformats.org/officeDocument/2006/relationships/hyperlink" Target="https://jobs.palfinger.com/en-us" TargetMode="External"/><Relationship Id="rId29" Type="http://schemas.openxmlformats.org/officeDocument/2006/relationships/hyperlink" Target="https://www.skidata.com/jobs/career/global-service-performance-manager-49574-en_us" TargetMode="External"/><Relationship Id="rId30" Type="http://schemas.openxmlformats.org/officeDocument/2006/relationships/hyperlink" Target="http://www.skidata.com/en/career.html" TargetMode="External"/><Relationship Id="rId31" Type="http://schemas.openxmlformats.org/officeDocument/2006/relationships/hyperlink" Target="https://jobs.redbull.com/at-de/elsbethen-service-manager-security-incident-management--ref28783m?lang=en" TargetMode="External"/><Relationship Id="rId32" Type="http://schemas.openxmlformats.org/officeDocument/2006/relationships/hyperlink" Target="https://jobs.redbull.com/" TargetMode="External"/><Relationship Id="rId33" Type="http://schemas.openxmlformats.org/officeDocument/2006/relationships/hyperlink" Target="https://jobs.smartrecruiters.com/RedBull/744000132364914-infrastructure-architect" TargetMode="External"/><Relationship Id="rId34" Type="http://schemas.openxmlformats.org/officeDocument/2006/relationships/hyperlink" Target="https://jobs.redbull.com/" TargetMode="External"/><Relationship Id="rId35" Type="http://schemas.openxmlformats.org/officeDocument/2006/relationships/hyperlink" Target="https://hai.jobs/professionals/category/it/4cf6fa25-934c-58f4-a639-8b41841f3043" TargetMode="External"/><Relationship Id="rId36" Type="http://schemas.openxmlformats.org/officeDocument/2006/relationships/hyperlink" Target="https://hai.jobs/" TargetMode="External"/><Relationship Id="rId37" Type="http://schemas.openxmlformats.org/officeDocument/2006/relationships/hyperlink" Target="https://jobs-at.ktm.com/Job/4319/Head-of-IT-Infrastructure--Operations" TargetMode="External"/><Relationship Id="rId38" Type="http://schemas.openxmlformats.org/officeDocument/2006/relationships/hyperlink" Target="https://www.karriere.at/jobs/7805765" TargetMode="External"/><Relationship Id="rId39" Type="http://schemas.openxmlformats.org/officeDocument/2006/relationships/hyperlink" Target="https://jobs.ktm.com/Jobs" TargetMode="External"/><Relationship Id="rId40" Type="http://schemas.openxmlformats.org/officeDocument/2006/relationships/hyperlink" Target="https://www.conova.com/karriere/" TargetMode="External"/><Relationship Id="rId41" Type="http://schemas.openxmlformats.org/officeDocument/2006/relationships/hyperlink" Target="https://www.conova.com/karriere/" TargetMode="External"/><Relationship Id="rId42" Type="http://schemas.openxmlformats.org/officeDocument/2006/relationships/hyperlink" Target="https://x-tention.com/de-AT/job/senior-cyber-security-consultant-project-manager-mwd" TargetMode="External"/><Relationship Id="rId43" Type="http://schemas.openxmlformats.org/officeDocument/2006/relationships/hyperlink" Target="https://www.karriere.at/jobs/10016338" TargetMode="External"/><Relationship Id="rId44" Type="http://schemas.openxmlformats.org/officeDocument/2006/relationships/hyperlink" Target="https://www.karriere.at/jobs/10016338" TargetMode="External"/><Relationship Id="rId45" Type="http://schemas.openxmlformats.org/officeDocument/2006/relationships/hyperlink" Target="https://www.skidata.com/jobs/career/it-system-engineer-mwd-40865-en_us" TargetMode="External"/><Relationship Id="rId46" Type="http://schemas.openxmlformats.org/officeDocument/2006/relationships/hyperlink" Target="http://www.skidata.com/en/career.html" TargetMode="External"/><Relationship Id="rId47" Type="http://schemas.openxmlformats.org/officeDocument/2006/relationships/hyperlink" Target="https://www.karriere.at/jobs/7818677" TargetMode="External"/><Relationship Id="rId48" Type="http://schemas.openxmlformats.org/officeDocument/2006/relationships/hyperlink" Target="https://karriere.acp.at/salzburg" TargetMode="External"/><Relationship Id="rId49" Type="http://schemas.openxmlformats.org/officeDocument/2006/relationships/hyperlink" Target="https://karriere.acp.at/salzburg" TargetMode="External"/><Relationship Id="rId50" Type="http://schemas.openxmlformats.org/officeDocument/2006/relationships/hyperlink" Target="https://job-boards.greenhouse.io/insightassurance/jobs/4887871008" TargetMode="External"/><Relationship Id="rId51" Type="http://schemas.openxmlformats.org/officeDocument/2006/relationships/hyperlink" Target="https://job-boards.greenhouse.io/insightassurance" TargetMode="External"/><Relationship Id="rId52" Type="http://schemas.openxmlformats.org/officeDocument/2006/relationships/hyperlink" Target="https://bewerbung.kpmg.at/stellenausschreiben/56" TargetMode="External"/><Relationship Id="rId53" Type="http://schemas.openxmlformats.org/officeDocument/2006/relationships/hyperlink" Target="https://kpmg.com/at/de/careers.html" TargetMode="External"/><Relationship Id="rId54" Type="http://schemas.openxmlformats.org/officeDocument/2006/relationships/hyperlink" Target="https://careers.lamresearch.com/job/Salzburg-IT-Support-Systems-Administrator-(all-genders)/1198235600/" TargetMode="External"/><Relationship Id="rId55" Type="http://schemas.openxmlformats.org/officeDocument/2006/relationships/hyperlink" Target="https://careers.lamresearch.com/" TargetMode="External"/><Relationship Id="rId56" Type="http://schemas.openxmlformats.org/officeDocument/2006/relationships/hyperlink" Target="https://www.bmwgroup.jobs/en/jobfinder/job-description-copy.129634.html" TargetMode="External"/><Relationship Id="rId57" Type="http://schemas.openxmlformats.org/officeDocument/2006/relationships/hyperlink" Target="https://www.bmwgroup.jobs/at/en.html" TargetMode="External"/><Relationship Id="rId58" Type="http://schemas.openxmlformats.org/officeDocument/2006/relationships/hyperlink" Target="https://www.palfinger.com/us/en/career/jobs/teamlead-application-management-operations--m-f-d-_6863.html" TargetMode="External"/><Relationship Id="rId59" Type="http://schemas.openxmlformats.org/officeDocument/2006/relationships/hyperlink" Target="https://jobs.palfinger.com/en-us" TargetMode="External"/><Relationship Id="rId60" Type="http://schemas.openxmlformats.org/officeDocument/2006/relationships/hyperlink" Target="https://www.karriere.at/f/gointerim" TargetMode="External"/><Relationship Id="rId61" Type="http://schemas.openxmlformats.org/officeDocument/2006/relationships/hyperlink" Target="https://www.karriere.at/f/gointerim" TargetMode="External"/><Relationship Id="rId62" Type="http://schemas.openxmlformats.org/officeDocument/2006/relationships/hyperlink" Target="https://www.grinnberg.de/it-job/job-inhouse-senior-netzwerkadministrator-w-m-x-im-raum-salzburg-id21081" TargetMode="External"/><Relationship Id="rId63" Type="http://schemas.openxmlformats.org/officeDocument/2006/relationships/hyperlink" Target="https://www.grinnberg.de/it-jobs" TargetMode="External"/><Relationship Id="rId64" Type="http://schemas.openxmlformats.org/officeDocument/2006/relationships/hyperlink" Target="https://karriere.salzburg-ag.at/Firewall-Network-Security-Engineer-all-genders-de-j2688.html" TargetMode="External"/><Relationship Id="rId65" Type="http://schemas.openxmlformats.org/officeDocument/2006/relationships/hyperlink" Target="https://karriere.salzburg-ag.at/stellenangebote.html" TargetMode="External"/><Relationship Id="rId66" Type="http://schemas.openxmlformats.org/officeDocument/2006/relationships/hyperlink" Target="https://solbytech.at/unternehmen/jobs/" TargetMode="External"/><Relationship Id="rId67" Type="http://schemas.openxmlformats.org/officeDocument/2006/relationships/hyperlink" Target="https://solbytech.at/unternehmen/jobs/" TargetMode="External"/><Relationship Id="rId68" Type="http://schemas.openxmlformats.org/officeDocument/2006/relationships/hyperlink" Target="https://www.spar-ics.com/de/career/offene-stellen-consulting" TargetMode="External"/><Relationship Id="rId69" Type="http://schemas.openxmlformats.org/officeDocument/2006/relationships/hyperlink" Target="https://www.spar-ics.com/en/career/work-ics/open-positions-all" TargetMode="External"/><Relationship Id="rId70" Type="http://schemas.openxmlformats.org/officeDocument/2006/relationships/hyperlink" Target="https://www.dorida.at/karriere/" TargetMode="External"/><Relationship Id="rId71" Type="http://schemas.openxmlformats.org/officeDocument/2006/relationships/hyperlink" Target="https://www.dorida.at/karriere/" TargetMode="External"/><Relationship Id="rId72" Type="http://schemas.openxmlformats.org/officeDocument/2006/relationships/hyperlink" Target="https://www.spaengler.at/bankhaus/karriere/senior-it-technikerin-74/" TargetMode="External"/><Relationship Id="rId73" Type="http://schemas.openxmlformats.org/officeDocument/2006/relationships/hyperlink" Target="https://www.spaengler.at/bankhaus/karriere/" TargetMode="External"/><Relationship Id="rId74" Type="http://schemas.openxmlformats.org/officeDocument/2006/relationships/hyperlink" Target="https://bewerbung.acp-gruppe.com/at/rx/906" TargetMode="External"/><Relationship Id="rId75" Type="http://schemas.openxmlformats.org/officeDocument/2006/relationships/hyperlink" Target="https://karriere.acp.at/salzburg" TargetMode="External"/><Relationship Id="rId76" Type="http://schemas.openxmlformats.org/officeDocument/2006/relationships/hyperlink" Target="https://karriere.acp.at/salzburg" TargetMode="External"/><Relationship Id="rId77" Type="http://schemas.openxmlformats.org/officeDocument/2006/relationships/hyperlink" Target="https://www.evgroup.com/de/karriere/jobs/it-administrator-mwx-fuer-domain-und-groupware-services-1" TargetMode="External"/><Relationship Id="rId78" Type="http://schemas.openxmlformats.org/officeDocument/2006/relationships/hyperlink" Target="https://www.evgroup.com/de/karriere/arbeitsbereiche/information-technology" TargetMode="External"/><Relationship Id="rId79" Type="http://schemas.openxmlformats.org/officeDocument/2006/relationships/hyperlink" Target="https://www.nts.eu/de/job/senior-systems-engineer-network-m-w-d/" TargetMode="External"/><Relationship Id="rId80" Type="http://schemas.openxmlformats.org/officeDocument/2006/relationships/hyperlink" Target="https://www.nts.eu/de/job_city/salzburg-de/" TargetMode="External"/><Relationship Id="rId81" Type="http://schemas.openxmlformats.org/officeDocument/2006/relationships/hyperlink" Target="https://www.nts.eu/en/jobs/" TargetMode="External"/><Relationship Id="rId82" Type="http://schemas.openxmlformats.org/officeDocument/2006/relationships/hyperlink" Target="https://www.grinnberg.de/it-job/job-it-job-als-systemadministrator-im-raum-salzburg-m-w-d-it-administrator-m-w-d-id21067" TargetMode="External"/><Relationship Id="rId83" Type="http://schemas.openxmlformats.org/officeDocument/2006/relationships/hyperlink" Target="https://www.grinnberg.de/it-jobs" TargetMode="External"/><Relationship Id="rId84" Type="http://schemas.openxmlformats.org/officeDocument/2006/relationships/hyperlink" Target="https://www.sanitas.at/karriere/it-systemspezialistenin-fuer-klinische-informationssysteme-mwd" TargetMode="External"/><Relationship Id="rId85" Type="http://schemas.openxmlformats.org/officeDocument/2006/relationships/hyperlink" Target="https://www.sanitas.at/karriere/it-systemspezialistenin-fuer-klinische-informationssysteme-mwd" TargetMode="External"/><Relationship Id="rId86" Type="http://schemas.openxmlformats.org/officeDocument/2006/relationships/hyperlink" Target="https://bewerbung.acp-gruppe.com/at/rx/887" TargetMode="External"/><Relationship Id="rId87" Type="http://schemas.openxmlformats.org/officeDocument/2006/relationships/hyperlink" Target="https://karriere.acp.at/salzburg" TargetMode="External"/><Relationship Id="rId88" Type="http://schemas.openxmlformats.org/officeDocument/2006/relationships/hyperlink" Target="https://karriere.acp.at/salzburg" TargetMode="External"/><Relationship Id="rId89" Type="http://schemas.openxmlformats.org/officeDocument/2006/relationships/hyperlink" Target="https://www.ottogroup.com/en/careers/job/03573527/information-security-specialist-m-w-d-" TargetMode="External"/><Relationship Id="rId90" Type="http://schemas.openxmlformats.org/officeDocument/2006/relationships/hyperlink" Target="https://www.karriere.at/jobs/7790918" TargetMode="External"/><Relationship Id="rId91" Type="http://schemas.openxmlformats.org/officeDocument/2006/relationships/hyperlink" Target="https://www.ottoaustriagroup.at/" TargetMode="External"/><Relationship Id="rId92" Type="http://schemas.openxmlformats.org/officeDocument/2006/relationships/hyperlink" Target="https://jobs.cancom.com/" TargetMode="External"/><Relationship Id="rId93" Type="http://schemas.openxmlformats.org/officeDocument/2006/relationships/hyperlink" Target="https://jobs.cancom.com/" TargetMode="External"/><Relationship Id="rId94" Type="http://schemas.openxmlformats.org/officeDocument/2006/relationships/hyperlink" Target="https://messezentrum-salzburg-gmbh.jobs.personio.de/?language=de" TargetMode="External"/><Relationship Id="rId95" Type="http://schemas.openxmlformats.org/officeDocument/2006/relationships/hyperlink" Target="https://messezentrum-salzburg-gmbh.jobs.personio.de/?language=de" TargetMode="External"/><Relationship Id="rId96" Type="http://schemas.openxmlformats.org/officeDocument/2006/relationships/hyperlink" Target="https://jobs.cancom.com/System-Engineer-NetworkSecurity-wm-Junior-oder-Professiona-de-j69.html" TargetMode="External"/><Relationship Id="rId97" Type="http://schemas.openxmlformats.org/officeDocument/2006/relationships/hyperlink" Target="https://jobs.cancom.com/" TargetMode="External"/><Relationship Id="rId98" Type="http://schemas.openxmlformats.org/officeDocument/2006/relationships/hyperlink" Target="https://www.kern-partner.at/jobs/job/214500.html" TargetMode="External"/><Relationship Id="rId99" Type="http://schemas.openxmlformats.org/officeDocument/2006/relationships/hyperlink" Target="https://www.kern-partner.at/jobs.html" TargetMode="External"/><Relationship Id="rId100" Type="http://schemas.openxmlformats.org/officeDocument/2006/relationships/drawing" Target="../drawings/drawing1.xml"/><Relationship Id="rId101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jobs.redbull.com/" TargetMode="External"/><Relationship Id="rId2" Type="http://schemas.openxmlformats.org/officeDocument/2006/relationships/hyperlink" Target="https://jobs.palfinger.com/en-us" TargetMode="External"/><Relationship Id="rId3" Type="http://schemas.openxmlformats.org/officeDocument/2006/relationships/hyperlink" Target="https://jobs.ktm.com/Jobs" TargetMode="External"/><Relationship Id="rId4" Type="http://schemas.openxmlformats.org/officeDocument/2006/relationships/hyperlink" Target="https://jobs.volkswagen-group.com/PHS/?locale=en_US" TargetMode="External"/><Relationship Id="rId5" Type="http://schemas.openxmlformats.org/officeDocument/2006/relationships/hyperlink" Target="https://www.spar-ics.com/en/career/work-ics/open-positions-all" TargetMode="External"/><Relationship Id="rId6" Type="http://schemas.openxmlformats.org/officeDocument/2006/relationships/hyperlink" Target="https://www.dm.at/unternehmen/karriere" TargetMode="External"/><Relationship Id="rId7" Type="http://schemas.openxmlformats.org/officeDocument/2006/relationships/hyperlink" Target="https://karriere.salzburg-ag.at/stellenangebote.html" TargetMode="External"/><Relationship Id="rId8" Type="http://schemas.openxmlformats.org/officeDocument/2006/relationships/hyperlink" Target="https://www.conova.com/karriere/" TargetMode="External"/><Relationship Id="rId9" Type="http://schemas.openxmlformats.org/officeDocument/2006/relationships/hyperlink" Target="https://www.wuestenrot.at/de/ueber-uns/karriere/offene-stellen.html" TargetMode="External"/><Relationship Id="rId10" Type="http://schemas.openxmlformats.org/officeDocument/2006/relationships/hyperlink" Target="https://careers.lamresearch.com/" TargetMode="External"/><Relationship Id="rId11" Type="http://schemas.openxmlformats.org/officeDocument/2006/relationships/hyperlink" Target="http://www.skidata.com/en/career.html" TargetMode="External"/><Relationship Id="rId12" Type="http://schemas.openxmlformats.org/officeDocument/2006/relationships/hyperlink" Target="https://www.karriere.at/jobs/senoplast" TargetMode="External"/><Relationship Id="rId13" Type="http://schemas.openxmlformats.org/officeDocument/2006/relationships/hyperlink" Target="https://hai.jobs/" TargetMode="External"/><Relationship Id="rId14" Type="http://schemas.openxmlformats.org/officeDocument/2006/relationships/hyperlink" Target="https://careers.novataste.com/" TargetMode="External"/><Relationship Id="rId15" Type="http://schemas.openxmlformats.org/officeDocument/2006/relationships/hyperlink" Target="https://joinus.inditexcareers.com/en/austria/" TargetMode="External"/><Relationship Id="rId16" Type="http://schemas.openxmlformats.org/officeDocument/2006/relationships/hyperlink" Target="https://x-tention.com/de-AT/job/senior-cyber-security-consultant-project-manager-mwd" TargetMode="External"/><Relationship Id="rId17" Type="http://schemas.openxmlformats.org/officeDocument/2006/relationships/hyperlink" Target="https://www.dorida.at/karriere/" TargetMode="External"/><Relationship Id="rId18" Type="http://schemas.openxmlformats.org/officeDocument/2006/relationships/hyperlink" Target="https://www.copadata.com/en/career/jobs" TargetMode="External"/><Relationship Id="rId19" Type="http://schemas.openxmlformats.org/officeDocument/2006/relationships/hyperlink" Target="https://www.br-automation.com/en/career/" TargetMode="External"/><Relationship Id="rId20" Type="http://schemas.openxmlformats.org/officeDocument/2006/relationships/hyperlink" Target="https://www.bmwgroup.jobs/at/en.html" TargetMode="External"/><Relationship Id="rId21" Type="http://schemas.openxmlformats.org/officeDocument/2006/relationships/hyperlink" Target="https://rvs.bewerberportal.at/Jobs" TargetMode="External"/><Relationship Id="rId22" Type="http://schemas.openxmlformats.org/officeDocument/2006/relationships/hyperlink" Target="https://www.spaengler.at/bankhaus/karriere/" TargetMode="External"/><Relationship Id="rId23" Type="http://schemas.openxmlformats.org/officeDocument/2006/relationships/hyperlink" Target="https://www.kaindl.com/en/careers/job-offers/" TargetMode="External"/><Relationship Id="rId24" Type="http://schemas.openxmlformats.org/officeDocument/2006/relationships/hyperlink" Target="https://www.liebherr.com/de-at/firmengruppe/standort/bischofshofen-karriere-4445573" TargetMode="External"/><Relationship Id="rId25" Type="http://schemas.openxmlformats.org/officeDocument/2006/relationships/hyperlink" Target="https://www.amag-al4u.com/en/career/open-positions" TargetMode="External"/><Relationship Id="rId26" Type="http://schemas.openxmlformats.org/officeDocument/2006/relationships/hyperlink" Target="https://salk.at/jobs/" TargetMode="External"/><Relationship Id="rId27" Type="http://schemas.openxmlformats.org/officeDocument/2006/relationships/hyperlink" Target="https://karriere.pmu.ac.at/" TargetMode="External"/><Relationship Id="rId28" Type="http://schemas.openxmlformats.org/officeDocument/2006/relationships/hyperlink" Target="https://www.lagermax.com/de-at/karriere/offene-jobs/" TargetMode="External"/><Relationship Id="rId29" Type="http://schemas.openxmlformats.org/officeDocument/2006/relationships/hyperlink" Target="https://karriere.acp.at/salzburg" TargetMode="External"/><Relationship Id="rId30" Type="http://schemas.openxmlformats.org/officeDocument/2006/relationships/hyperlink" Target="https://jobs.cancom.com/" TargetMode="External"/><Relationship Id="rId31" Type="http://schemas.openxmlformats.org/officeDocument/2006/relationships/hyperlink" Target="https://messezentrum-salzburg-gmbh.jobs.personio.de/?language=de" TargetMode="External"/><Relationship Id="rId32" Type="http://schemas.openxmlformats.org/officeDocument/2006/relationships/hyperlink" Target="https://careers.rosewoodhotelgroup.com/" TargetMode="External"/><Relationship Id="rId33" Type="http://schemas.openxmlformats.org/officeDocument/2006/relationships/hyperlink" Target="https://www.bwt.com/" TargetMode="External"/><Relationship Id="rId34" Type="http://schemas.openxmlformats.org/officeDocument/2006/relationships/hyperlink" Target="https://www.ottoaustriagroup.at/" TargetMode="External"/><Relationship Id="rId35" Type="http://schemas.openxmlformats.org/officeDocument/2006/relationships/hyperlink" Target="https://kpmg.com/at/de/careers.html" TargetMode="External"/><Relationship Id="rId36" Type="http://schemas.openxmlformats.org/officeDocument/2006/relationships/hyperlink" Target="https://solbytech.at/unternehmen/jobs/" TargetMode="External"/><Relationship Id="rId37" Type="http://schemas.openxmlformats.org/officeDocument/2006/relationships/hyperlink" Target="https://www.nts.eu/en/jobs/" TargetMode="External"/><Relationship Id="rId38" Type="http://schemas.openxmlformats.org/officeDocument/2006/relationships/hyperlink" Target="https://www.mercedes-benz.at/passengercars/brand/career.html" TargetMode="External"/><Relationship Id="rId39" Type="http://schemas.openxmlformats.org/officeDocument/2006/relationships/hyperlink" Target="https://www.sparkasse.at/salzburg/karriere_start/stellenangebote" TargetMode="External"/><Relationship Id="rId40" Type="http://schemas.openxmlformats.org/officeDocument/2006/relationships/hyperlink" Target="https://karriere.plus.ac.at/de/" TargetMode="External"/><Relationship Id="rId41" Type="http://schemas.openxmlformats.org/officeDocument/2006/relationships/hyperlink" Target="https://www.cgm.com/" TargetMode="External"/><Relationship Id="rId42" Type="http://schemas.openxmlformats.org/officeDocument/2006/relationships/hyperlink" Target="https://www.mindsetters.com/" TargetMode="External"/><Relationship Id="rId43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schulmeister-consulting.com/de/fuer-bewerberinnen/jobs-finden" TargetMode="External"/><Relationship Id="rId2" Type="http://schemas.openxmlformats.org/officeDocument/2006/relationships/hyperlink" Target="https://www.epunkt.com/standort/salzburg/" TargetMode="External"/><Relationship Id="rId3" Type="http://schemas.openxmlformats.org/officeDocument/2006/relationships/hyperlink" Target="https://www.techsearch.at/jobs/269996-SPTS/it-team-leiter-w-m-d" TargetMode="External"/><Relationship Id="rId4" Type="http://schemas.openxmlformats.org/officeDocument/2006/relationships/hyperlink" Target="https://jobs.ams.at/" TargetMode="External"/><Relationship Id="rId5" Type="http://schemas.openxmlformats.org/officeDocument/2006/relationships/hyperlink" Target="https://www.kern-partner.at/jobs.html" TargetMode="External"/><Relationship Id="rId6" Type="http://schemas.openxmlformats.org/officeDocument/2006/relationships/hyperlink" Target="https://www.gointerim.com/" TargetMode="External"/><Relationship Id="rId7" Type="http://schemas.openxmlformats.org/officeDocument/2006/relationships/hyperlink" Target="https://www.iventa.eu/" TargetMode="External"/><Relationship Id="rId8" Type="http://schemas.openxmlformats.org/officeDocument/2006/relationships/hyperlink" Target="https://www.rehrl.at/" TargetMode="External"/><Relationship Id="rId9" Type="http://schemas.openxmlformats.org/officeDocument/2006/relationships/hyperlink" Target="https://www.hapeko.at/standorte/salzburg" TargetMode="External"/><Relationship Id="rId10" Type="http://schemas.openxmlformats.org/officeDocument/2006/relationships/hyperlink" Target="https://www.mbmc.at/personalberatung/salzburg/" TargetMode="External"/><Relationship Id="rId11" Type="http://schemas.openxmlformats.org/officeDocument/2006/relationships/hyperlink" Target="https://tntpersonal.at/jobs-stellenanzeigen/" TargetMode="External"/><Relationship Id="rId12" Type="http://schemas.openxmlformats.org/officeDocument/2006/relationships/hyperlink" Target="https://www.grinnberg.de/it-jobs" TargetMode="External"/><Relationship Id="rId13" Type="http://schemas.openxmlformats.org/officeDocument/2006/relationships/hyperlink" Target="https://at.trenkwalder.com/standorte/salzburg" TargetMode="External"/><Relationship Id="rId14" Type="http://schemas.openxmlformats.org/officeDocument/2006/relationships/hyperlink" Target="https://www.tti.at/" TargetMode="External"/><Relationship Id="rId15" Type="http://schemas.openxmlformats.org/officeDocument/2006/relationships/hyperlink" Target="https://www.manpower.at/jobs/it-administrator/salzburg" TargetMode="External"/><Relationship Id="rId16" Type="http://schemas.openxmlformats.org/officeDocument/2006/relationships/hyperlink" Target="https://globe.at/en/company/standorte/personalvermittlung-und-personalberatung-salzburg/" TargetMode="External"/><Relationship Id="rId17" Type="http://schemas.openxmlformats.org/officeDocument/2006/relationships/hyperlink" Target="https://www.hays.at/personaldienstleister/fachgebiet-information-technology" TargetMode="External"/><Relationship Id="rId18" Type="http://schemas.openxmlformats.org/officeDocument/2006/relationships/hyperlink" Target="https://www.michaelpage.com/" TargetMode="External"/><Relationship Id="rId19" Type="http://schemas.openxmlformats.org/officeDocument/2006/relationships/hyperlink" Target="https://www.pernergroup.com/de/fuer-unternehmen/personalberatung" TargetMode="External"/><Relationship Id="rId20" Type="http://schemas.openxmlformats.org/officeDocument/2006/relationships/hyperlink" Target="https://www.rkmanagement.at/leistungen-fuer-ihr-unternehmen/" TargetMode="External"/><Relationship Id="rId2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karriere.at/jobs/it/salzburg" TargetMode="External"/><Relationship Id="rId2" Type="http://schemas.openxmlformats.org/officeDocument/2006/relationships/hyperlink" Target="https://karriere.sn.at/" TargetMode="External"/><Relationship Id="rId3" Type="http://schemas.openxmlformats.org/officeDocument/2006/relationships/hyperlink" Target="https://jobs.salzburg24.at/jobs/it-edv/salzburg-stadt" TargetMode="External"/><Relationship Id="rId4" Type="http://schemas.openxmlformats.org/officeDocument/2006/relationships/hyperlink" Target="https://www.salzburgerjobs.at/" TargetMode="External"/><Relationship Id="rId5" Type="http://schemas.openxmlformats.org/officeDocument/2006/relationships/hyperlink" Target="https://www.stepstone.at/jobs/english-speaking/in-salzburg" TargetMode="External"/><Relationship Id="rId6" Type="http://schemas.openxmlformats.org/officeDocument/2006/relationships/hyperlink" Target="https://jobinsalzburg.com/" TargetMode="External"/><Relationship Id="rId7" Type="http://schemas.openxmlformats.org/officeDocument/2006/relationships/hyperlink" Target="https://englishjobsearch.at/in/salzburg-stadt" TargetMode="External"/><Relationship Id="rId8" Type="http://schemas.openxmlformats.org/officeDocument/2006/relationships/hyperlink" Target="https://www.glassdoor.com/Job/salzburg-english-jobs-SRCH_IL.0,8_IC3080206_KO9,16.htm" TargetMode="External"/><Relationship Id="rId9" Type="http://schemas.openxmlformats.org/officeDocument/2006/relationships/hyperlink" Target="https://www.linkedin.com/jobs/" TargetMode="External"/><Relationship Id="rId10" Type="http://schemas.openxmlformats.org/officeDocument/2006/relationships/hyperlink" Target="https://jobs.ams.at/" TargetMode="External"/><Relationship Id="rId11" Type="http://schemas.openxmlformats.org/officeDocument/2006/relationships/hyperlink" Target="https://devjobs.at/" TargetMode="External"/><Relationship Id="rId12" Type="http://schemas.openxmlformats.org/officeDocument/2006/relationships/hyperlink" Target="https://hokify.at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karriere.sn.at/job/junior-it-security-consultant-m-w-57213" TargetMode="External"/><Relationship Id="rId2" Type="http://schemas.openxmlformats.org/officeDocument/2006/relationships/hyperlink" Target="https://at.linkedin.com/jobs/view/mid-senior-level-microsoft-365-azure-security-expert-in-in-salzburg-german-speaking-c1+-at-locke-and-mccloud-3969078683" TargetMode="External"/><Relationship Id="rId3" Type="http://schemas.openxmlformats.org/officeDocument/2006/relationships/hyperlink" Target="https://www.sercanto.at/detail/a/local-information-security-officer-porsche-versicherung-w-m-d_salzburg_50965292" TargetMode="External"/><Relationship Id="rId4" Type="http://schemas.openxmlformats.org/officeDocument/2006/relationships/hyperlink" Target="https://at.linkedin.com/jobs/view/information-security-officer-w-m-d-at-porsche-holding-3834467031" TargetMode="External"/><Relationship Id="rId5" Type="http://schemas.openxmlformats.org/officeDocument/2006/relationships/hyperlink" Target="https://www.karriere.at/jobs/7089682" TargetMode="External"/><Relationship Id="rId6" Type="http://schemas.openxmlformats.org/officeDocument/2006/relationships/hyperlink" Target="https://www.porscheinformatik.com/en/career/jobs/job/9292/" TargetMode="External"/><Relationship Id="rId7" Type="http://schemas.openxmlformats.org/officeDocument/2006/relationships/hyperlink" Target="https://jobs.smartrecruiters.com/RedBull/743999992355016-it-security-professional" TargetMode="External"/><Relationship Id="rId8" Type="http://schemas.openxmlformats.org/officeDocument/2006/relationships/hyperlink" Target="https://jobs.redbull.com/at-de/elsbethen-it-infrastructure-security-consultant-139478-056623" TargetMode="External"/><Relationship Id="rId9" Type="http://schemas.openxmlformats.org/officeDocument/2006/relationships/hyperlink" Target="https://karriere.sn.at/job/information-security-expert-m-w-mit-fokus-isms-und-it-prozesse-76780" TargetMode="External"/><Relationship Id="rId10" Type="http://schemas.openxmlformats.org/officeDocument/2006/relationships/hyperlink" Target="https://www.karriere.at/jobs/7375921" TargetMode="External"/><Relationship Id="rId11" Type="http://schemas.openxmlformats.org/officeDocument/2006/relationships/hyperlink" Target="https://jobs.salzburg24.at/job/identity-and-access-management-expert-m-w-d-60493" TargetMode="External"/><Relationship Id="rId12" Type="http://schemas.openxmlformats.org/officeDocument/2006/relationships/hyperlink" Target="https://karriere.sn.at/job/it-information-security-managerin-62482" TargetMode="External"/><Relationship Id="rId13" Type="http://schemas.openxmlformats.org/officeDocument/2006/relationships/hyperlink" Target="https://karriere.salzburg-ag.at/Systems-Engineer-all-genders-de-j1697.html" TargetMode="External"/><Relationship Id="rId14" Type="http://schemas.openxmlformats.org/officeDocument/2006/relationships/hyperlink" Target="https://karriere.sn.at/job/smart-meter-cyber-security-engineer-w-m-d-50364" TargetMode="External"/><Relationship Id="rId15" Type="http://schemas.openxmlformats.org/officeDocument/2006/relationships/hyperlink" Target="https://jobs.salzburgerfestspiele.at/IT-System-Administrator-mwd-de-j366.html" TargetMode="External"/><Relationship Id="rId16" Type="http://schemas.openxmlformats.org/officeDocument/2006/relationships/hyperlink" Target="https://www.arbeitsagentur.de/jobsuche/jobdetail/10001-1002005166-S" TargetMode="External"/><Relationship Id="rId17" Type="http://schemas.openxmlformats.org/officeDocument/2006/relationships/hyperlink" Target="https://karriere.sn.at/job/it-systems-engineer-schwerpunkt-it-security-w-m-d-58708" TargetMode="External"/><Relationship Id="rId18" Type="http://schemas.openxmlformats.org/officeDocument/2006/relationships/hyperlink" Target="https://karriere.sn.at/job/it-security-engineer-awarness-training-and-security-roadmap-109963" TargetMode="External"/><Relationship Id="rId19" Type="http://schemas.openxmlformats.org/officeDocument/2006/relationships/hyperlink" Target="https://join.com/companies/dm/13999655-it-netzwerkadministrator-im-bereich-filialnetzwerk-w-m-x" TargetMode="External"/><Relationship Id="rId20" Type="http://schemas.openxmlformats.org/officeDocument/2006/relationships/hyperlink" Target="https://job.epunkt.com/stellen/senior-it-systemadministrator-w-m-x-stelle-salzburg-318964-21.html" TargetMode="External"/><Relationship Id="rId21" Type="http://schemas.openxmlformats.org/officeDocument/2006/relationships/hyperlink" Target="https://www.acp-gruppe.com/de-at/karriere/salzburg" TargetMode="External"/><Relationship Id="rId22" Type="http://schemas.openxmlformats.org/officeDocument/2006/relationships/hyperlink" Target="https://www.karriere.at/jobs/7728740" TargetMode="External"/><Relationship Id="rId23" Type="http://schemas.openxmlformats.org/officeDocument/2006/relationships/hyperlink" Target="https://www.evgroup.com/de/karriere/jobs/it-systemadministration-und-applikationsbetreuung-mwx-1" TargetMode="External"/><Relationship Id="rId24" Type="http://schemas.openxmlformats.org/officeDocument/2006/relationships/hyperlink" Target="https://jobs.salzburg24.at/job/chief-information-security-officer-ciso-m-w-117592" TargetMode="External"/><Relationship Id="rId25" Type="http://schemas.openxmlformats.org/officeDocument/2006/relationships/hyperlink" Target="https://jobs.ktm.com/Job/1004" TargetMode="External"/><Relationship Id="rId26" Type="http://schemas.openxmlformats.org/officeDocument/2006/relationships/hyperlink" Target="https://www.karriere.at/jobs/7744079" TargetMode="External"/><Relationship Id="rId27" Type="http://schemas.openxmlformats.org/officeDocument/2006/relationships/hyperlink" Target="https://www.karriere.at/jobs/7635471" TargetMode="External"/><Relationship Id="rId28" Type="http://schemas.openxmlformats.org/officeDocument/2006/relationships/hyperlink" Target="https://karriere.sn.at/job/2026-13930-senior-it-systemadministratorin-117951" TargetMode="External"/><Relationship Id="rId29" Type="http://schemas.openxmlformats.org/officeDocument/2006/relationships/hyperlink" Target="https://www.karriere.at/jobs/7736975" TargetMode="External"/><Relationship Id="rId30" Type="http://schemas.openxmlformats.org/officeDocument/2006/relationships/hyperlink" Target="https://www.palfinger.com/en-us/career/jobs/pmo-manager-ict-m/w/d_k_1731579" TargetMode="External"/><Relationship Id="rId31" Type="http://schemas.openxmlformats.org/officeDocument/2006/relationships/hyperlink" Target="https://www.palfinger.com/en/career/jobs/mitarbeiter-globaler-support-ict-w/m/d_k_519132" TargetMode="External"/><Relationship Id="rId32" Type="http://schemas.openxmlformats.org/officeDocument/2006/relationships/hyperlink" Target="https://www.karriere.at/jobs/7790513" TargetMode="External"/><Relationship Id="rId33" Type="http://schemas.openxmlformats.org/officeDocument/2006/relationships/hyperlink" Target="https://www.salzburgerjobs.at/jobs/teamleitung-cyber-defense-center-w-m-d,75188" TargetMode="External"/><Relationship Id="rId34" Type="http://schemas.openxmlformats.org/officeDocument/2006/relationships/hyperlink" Target="https://www.porscheinformatik.com/jobs-karriere/aktuelle-stellenangebote/job/7799/" TargetMode="External"/><Relationship Id="rId35" Type="http://schemas.openxmlformats.org/officeDocument/2006/relationships/hyperlink" Target="https://en.devjobs.at/job/e3b1affb48d145bac5dc3e7d920e8c88" TargetMode="External"/><Relationship Id="rId36" Type="http://schemas.openxmlformats.org/officeDocument/2006/relationships/hyperlink" Target="https://www.karriere.at/jobs/7785368" TargetMode="External"/><Relationship Id="rId37" Type="http://schemas.openxmlformats.org/officeDocument/2006/relationships/hyperlink" Target="https://jobs.redbull.com/at-de/elsbethen-team-lead-infrastructure-security-ref22800c" TargetMode="External"/><Relationship Id="rId38" Type="http://schemas.openxmlformats.org/officeDocument/2006/relationships/hyperlink" Target="https://jobs.redbull.com/gb-en/elsbethen-team-lead-infrastructure-security-ref22800c" TargetMode="External"/><Relationship Id="rId39" Type="http://schemas.openxmlformats.org/officeDocument/2006/relationships/hyperlink" Target="https://jobs.redbull.com/at-de/elsbethen-network-security-manager-ref16219p?lang=en" TargetMode="External"/><Relationship Id="rId40" Type="http://schemas.openxmlformats.org/officeDocument/2006/relationships/hyperlink" Target="https://jobs.redbull.com/at-de/elsbethen-service-manager-crypto-services-ref22969s?lang=en" TargetMode="External"/><Relationship Id="rId41" Type="http://schemas.openxmlformats.org/officeDocument/2006/relationships/hyperlink" Target="https://jobs.redbull.com/at-de/elsbethen-it-application-manager-itsm-ref19175d?lang=en" TargetMode="External"/><Relationship Id="rId42" Type="http://schemas.openxmlformats.org/officeDocument/2006/relationships/hyperlink" Target="https://jobs.redbull.com/us-en/elsbethen-it-system-architect-ref20422d" TargetMode="External"/><Relationship Id="rId43" Type="http://schemas.openxmlformats.org/officeDocument/2006/relationships/hyperlink" Target="https://www.spar-ics.com/de/career/offene-stellen-engineering" TargetMode="External"/><Relationship Id="rId44" Type="http://schemas.openxmlformats.org/officeDocument/2006/relationships/hyperlink" Target="https://www.karriere.at/jobs/7737818" TargetMode="External"/><Relationship Id="rId45" Type="http://schemas.openxmlformats.org/officeDocument/2006/relationships/hyperlink" Target="https://jobs.salzburg24.at/job/it-infrastructure-systems-engineer-all-genders-118630" TargetMode="External"/><Relationship Id="rId46" Type="http://schemas.openxmlformats.org/officeDocument/2006/relationships/hyperlink" Target="https://karriere.salzburg-ag.at/Systemadministratorin-Leitsysteme-de-j2363.html" TargetMode="External"/><Relationship Id="rId47" Type="http://schemas.openxmlformats.org/officeDocument/2006/relationships/hyperlink" Target="https://karriere.salzburg-ag.at/IT-Solution-Engineer-de-j2405.html" TargetMode="External"/><Relationship Id="rId48" Type="http://schemas.openxmlformats.org/officeDocument/2006/relationships/hyperlink" Target="https://karriere.salzburg-ag.at/IT-Systems-Engineer-IAM-Identity-and-Access-Management-de-j2602.html" TargetMode="External"/><Relationship Id="rId49" Type="http://schemas.openxmlformats.org/officeDocument/2006/relationships/hyperlink" Target="https://www.karriere.at/jobs/7777187" TargetMode="External"/><Relationship Id="rId50" Type="http://schemas.openxmlformats.org/officeDocument/2006/relationships/hyperlink" Target="https://jobs.salzburg24.at/job/it-system-administrator-f-m-d-1-118179" TargetMode="External"/><Relationship Id="rId51" Type="http://schemas.openxmlformats.org/officeDocument/2006/relationships/hyperlink" Target="https://www.karriere.at/jobs/7753049" TargetMode="External"/><Relationship Id="rId52" Type="http://schemas.openxmlformats.org/officeDocument/2006/relationships/hyperlink" Target="https://www.karriere.at/jobs/7741736" TargetMode="External"/><Relationship Id="rId53" Type="http://schemas.openxmlformats.org/officeDocument/2006/relationships/hyperlink" Target="https://www.karriere.at/jobs/7702187" TargetMode="External"/><Relationship Id="rId54" Type="http://schemas.openxmlformats.org/officeDocument/2006/relationships/hyperlink" Target="https://www.karriere.at/jobs/7856051" TargetMode="External"/><Relationship Id="rId55" Type="http://schemas.openxmlformats.org/officeDocument/2006/relationships/hyperlink" Target="https://www.karriere.at/jobs/7835534" TargetMode="External"/><Relationship Id="rId56" Type="http://schemas.openxmlformats.org/officeDocument/2006/relationships/hyperlink" Target="https://www.stepstone.at/stellenangebote--Infrastruktur-und-Security-Operator-m-w-x-Ranshofen-AMAG-Austria-Metall-AG--660825-inline.html" TargetMode="External"/><Relationship Id="rId57" Type="http://schemas.openxmlformats.org/officeDocument/2006/relationships/hyperlink" Target="https://www.karriere.at/jobs/manager/braunau-am-inn-bezirk" TargetMode="External"/><Relationship Id="rId58" Type="http://schemas.openxmlformats.org/officeDocument/2006/relationships/hyperlink" Target="https://www.spaengler.at/bankhaus/karriere/" TargetMode="External"/><Relationship Id="rId59" Type="http://schemas.openxmlformats.org/officeDocument/2006/relationships/hyperlink" Target="https://www.karriere.at/jobs/it/zell-am-see-bezirk" TargetMode="External"/><Relationship Id="rId60" Type="http://schemas.openxmlformats.org/officeDocument/2006/relationships/hyperlink" Target="https://jobs.cancom.com/" TargetMode="External"/><Relationship Id="rId61" Type="http://schemas.openxmlformats.org/officeDocument/2006/relationships/hyperlink" Target="https://www.karriere.at/jobs/it-security/salzburg" TargetMode="External"/><Relationship Id="rId62" Type="http://schemas.openxmlformats.org/officeDocument/2006/relationships/hyperlink" Target="https://eds.at/personal/jobangebote" TargetMode="External"/><Relationship Id="rId63" Type="http://schemas.openxmlformats.org/officeDocument/2006/relationships/hyperlink" Target="https://www.stepstone.at/jobs/it-sicherheit/in-salzburg" TargetMode="External"/><Relationship Id="rId64" Type="http://schemas.openxmlformats.org/officeDocument/2006/relationships/hyperlink" Target="https://www.jobs.at/j/it-techniker/wals-siezenheim" TargetMode="External"/><Relationship Id="rId65" Type="http://schemas.openxmlformats.org/officeDocument/2006/relationships/hyperlink" Target="https://jobs.derstandard.at/detail/b41a48fc-460c-32e1-9d99-e90f4df73fdf" TargetMode="External"/><Relationship Id="rId66" Type="http://schemas.openxmlformats.org/officeDocument/2006/relationships/hyperlink" Target="https://at.jooble.org/jdp/4838579151382969489/Teamleitung-Cyber-Security-(w/m/x)-Salzburg-(Stadt)" TargetMode="External"/><Relationship Id="rId67" Type="http://schemas.openxmlformats.org/officeDocument/2006/relationships/hyperlink" Target="https://www.karriere.at/jobs/it/hallein-bezirk" TargetMode="External"/><Relationship Id="rId68" Type="http://schemas.openxmlformats.org/officeDocument/2006/relationships/hyperlink" Target="https://www.karriere.at/jobs/soc-analyst" TargetMode="External"/><Relationship Id="rId69" Type="http://schemas.openxmlformats.org/officeDocument/2006/relationships/hyperlink" Target="https://www.stepstone.de/jobs/it-projektmanager/in-salzburg" TargetMode="External"/><Relationship Id="rId70" Type="http://schemas.openxmlformats.org/officeDocument/2006/relationships/hyperlink" Target="https://www.stepstone.at/jobs/it-systemadministrator-in/in-salzburg" TargetMode="External"/><Relationship Id="rId71" Type="http://schemas.openxmlformats.org/officeDocument/2006/relationships/hyperlink" Target="https://www.jobs.at/j/it-techniker/zell-am-see-bezirk" TargetMode="External"/><Relationship Id="rId72" Type="http://schemas.openxmlformats.org/officeDocument/2006/relationships/hyperlink" Target="https://www.glassdoor.com/Job/remote-iso-27001-lead-auditor-jobs-SRCH_IL.0,6_IS11047_KO7,29.htm" TargetMode="External"/><Relationship Id="rId73" Type="http://schemas.openxmlformats.org/officeDocument/2006/relationships/hyperlink" Target="https://www.manpower.at/jobs/it-administrator/salzburg" TargetMode="External"/><Relationship Id="rId74" Type="http://schemas.openxmlformats.org/officeDocument/2006/relationships/hyperlink" Target="https://www.karriere.at/jobs/nts" TargetMode="External"/><Relationship Id="rId75" Type="http://schemas.openxmlformats.org/officeDocument/2006/relationships/hyperlink" Target="https://www.karriere.at/jobs/it-techniker/braunau-am-inn-bezirk" TargetMode="External"/><Relationship Id="rId76" Type="http://schemas.openxmlformats.org/officeDocument/2006/relationships/hyperlink" Target="https://freehire.me/jobs/application-security-service-manager-red-bull-2zaaqage" TargetMode="External"/><Relationship Id="rId77" Type="http://schemas.openxmlformats.org/officeDocument/2006/relationships/hyperlink" Target="https://careers.rosewoodhotelgroup.com/" TargetMode="External"/><Relationship Id="rId78" Type="http://schemas.openxmlformats.org/officeDocument/2006/relationships/hyperlink" Target="https://salk.at/jobs/" TargetMode="External"/><Relationship Id="rId79" Type="http://schemas.openxmlformats.org/officeDocument/2006/relationships/hyperlink" Target="https://www.spar-ics.com/de/career/offene-stellen-engineering" TargetMode="External"/><Relationship Id="rId80" Type="http://schemas.openxmlformats.org/officeDocument/2006/relationships/hyperlink" Target="https://www.spar-ics.com/de/career/offene-stellen-operating" TargetMode="External"/><Relationship Id="rId81" Type="http://schemas.openxmlformats.org/officeDocument/2006/relationships/hyperlink" Target="https://karriere.salzburg-ag.at/" TargetMode="External"/><Relationship Id="rId82" Type="http://schemas.openxmlformats.org/officeDocument/2006/relationships/hyperlink" Target="https://www.hotelcareer.com/jobs/sheraton-grand-salzburg-2983" TargetMode="External"/><Relationship Id="rId83" Type="http://schemas.openxmlformats.org/officeDocument/2006/relationships/hyperlink" Target="https://www.glassdoor.com/Jobs/Magistratsdirektion-der-Stadt-Salzburg-Jobs-E1067604.htm" TargetMode="External"/><Relationship Id="rId84" Type="http://schemas.openxmlformats.org/officeDocument/2006/relationships/hyperlink" Target="https://www.karriere.at/jobs/it-risk-manager" TargetMode="External"/><Relationship Id="rId85" Type="http://schemas.openxmlformats.org/officeDocument/2006/relationships/hyperlink" Target="https://www.jobleads.com/us/job/remote-iso-27001-information-security-auditor-lead--germany--e8a052393e242a1213a6a62bbe0cefa3c" TargetMode="External"/><Relationship Id="rId86" Type="http://schemas.openxmlformats.org/officeDocument/2006/relationships/hyperlink" Target="https://devjobs.at/job/01712467fcc0db6a961316f50eac7261" TargetMode="External"/><Relationship Id="rId87" Type="http://schemas.openxmlformats.org/officeDocument/2006/relationships/hyperlink" Target="https://hokify.at/job/20167057" TargetMode="External"/><Relationship Id="rId88" Type="http://schemas.openxmlformats.org/officeDocument/2006/relationships/hyperlink" Target="https://join.com/companies/dm/13823701-it-netzwerktechniker-in" TargetMode="External"/><Relationship Id="rId89" Type="http://schemas.openxmlformats.org/officeDocument/2006/relationships/hyperlink" Target="https://join.com/companies/dm/13093211-it-systemspezialist-w-m-x-schwerpunkt-ip-telefonie" TargetMode="External"/><Relationship Id="rId90" Type="http://schemas.openxmlformats.org/officeDocument/2006/relationships/hyperlink" Target="https://www.karriere.at/jobs/it-techniker/tennengau" TargetMode="External"/><Relationship Id="rId91" Type="http://schemas.openxmlformats.org/officeDocument/2006/relationships/hyperlink" Target="https://www.jobijoba.de/detailanzeige/9/339e81611f4c3deb6bd9e30c02325f5f" TargetMode="External"/><Relationship Id="rId92" Type="http://schemas.openxmlformats.org/officeDocument/2006/relationships/hyperlink" Target="https://www.karriere.at/jobs/information-security/salzburg" TargetMode="External"/><Relationship Id="rId93" Type="http://schemas.openxmlformats.org/officeDocument/2006/relationships/hyperlink" Target="https://www.karriere.at/f/&#246;wd-security-services" TargetMode="External"/><Relationship Id="rId94" Type="http://schemas.openxmlformats.org/officeDocument/2006/relationships/hyperlink" Target="https://joinus.inditexcareers.com/en/austria/" TargetMode="External"/><Relationship Id="rId95" Type="http://schemas.openxmlformats.org/officeDocument/2006/relationships/hyperlink" Target="https://www.mindsetters.com/" TargetMode="External"/><Relationship Id="rId96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8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44"/>
    <col collapsed="false" customWidth="true" hidden="false" outlineLevel="0" max="5" min="5" style="0" width="22"/>
    <col collapsed="false" customWidth="true" hidden="false" outlineLevel="0" max="7" min="6" style="0" width="12"/>
    <col collapsed="false" customWidth="true" hidden="false" outlineLevel="0" max="8" min="8" style="0" width="22"/>
    <col collapsed="false" customWidth="true" hidden="false" outlineLevel="0" max="9" min="9" style="0" width="16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</row>
    <row r="5" customFormat="false" ht="27.75" hidden="false" customHeight="true" outlineLevel="0" collapsed="false">
      <c r="B5" s="4" t="s">
        <v>3</v>
      </c>
      <c r="C5" s="5" t="s">
        <v>4</v>
      </c>
      <c r="D5" s="5"/>
      <c r="E5" s="5"/>
      <c r="F5" s="5"/>
      <c r="G5" s="5"/>
      <c r="H5" s="5"/>
      <c r="I5" s="5"/>
    </row>
    <row r="6" customFormat="false" ht="27.75" hidden="false" customHeight="true" outlineLevel="0" collapsed="false">
      <c r="B6" s="4" t="s">
        <v>5</v>
      </c>
      <c r="C6" s="5" t="s">
        <v>6</v>
      </c>
      <c r="D6" s="5"/>
      <c r="E6" s="5"/>
      <c r="F6" s="5"/>
      <c r="G6" s="5"/>
      <c r="H6" s="5"/>
      <c r="I6" s="5"/>
    </row>
    <row r="7" customFormat="false" ht="27.75" hidden="false" customHeight="true" outlineLevel="0" collapsed="false">
      <c r="B7" s="4" t="s">
        <v>7</v>
      </c>
      <c r="C7" s="5" t="s">
        <v>8</v>
      </c>
      <c r="D7" s="5"/>
      <c r="E7" s="5"/>
      <c r="F7" s="5"/>
      <c r="G7" s="5"/>
      <c r="H7" s="5"/>
      <c r="I7" s="5"/>
    </row>
    <row r="8" customFormat="false" ht="27.75" hidden="false" customHeight="true" outlineLevel="0" collapsed="false">
      <c r="B8" s="4" t="s">
        <v>9</v>
      </c>
      <c r="C8" s="5" t="s">
        <v>10</v>
      </c>
      <c r="D8" s="5"/>
      <c r="E8" s="5"/>
      <c r="F8" s="5"/>
      <c r="G8" s="5"/>
      <c r="H8" s="5"/>
      <c r="I8" s="5"/>
    </row>
    <row r="9" customFormat="false" ht="27.75" hidden="false" customHeight="true" outlineLevel="0" collapsed="false">
      <c r="B9" s="4" t="s">
        <v>11</v>
      </c>
      <c r="C9" s="5" t="s">
        <v>12</v>
      </c>
      <c r="D9" s="5"/>
      <c r="E9" s="5"/>
      <c r="F9" s="5"/>
      <c r="G9" s="5"/>
      <c r="H9" s="5"/>
      <c r="I9" s="5"/>
    </row>
    <row r="10" customFormat="false" ht="27.75" hidden="false" customHeight="true" outlineLevel="0" collapsed="false">
      <c r="B10" s="4" t="s">
        <v>13</v>
      </c>
      <c r="C10" s="5" t="s">
        <v>14</v>
      </c>
      <c r="D10" s="5"/>
      <c r="E10" s="5"/>
      <c r="F10" s="5"/>
      <c r="G10" s="5"/>
      <c r="H10" s="5"/>
      <c r="I10" s="5"/>
    </row>
    <row r="12" customFormat="false" ht="15" hidden="false" customHeight="false" outlineLevel="0" collapsed="false">
      <c r="B12" s="3" t="s">
        <v>15</v>
      </c>
    </row>
    <row r="13" customFormat="false" ht="15" hidden="false" customHeight="false" outlineLevel="0" collapsed="false">
      <c r="B13" s="6" t="s">
        <v>16</v>
      </c>
      <c r="C13" s="6" t="s">
        <v>17</v>
      </c>
      <c r="D13" s="6" t="s">
        <v>18</v>
      </c>
    </row>
    <row r="14" customFormat="false" ht="15" hidden="false" customHeight="true" outlineLevel="0" collapsed="false">
      <c r="B14" s="7" t="s">
        <v>19</v>
      </c>
      <c r="C14" s="8" t="n">
        <v>0.35</v>
      </c>
      <c r="D14" s="5" t="s">
        <v>20</v>
      </c>
      <c r="E14" s="5"/>
      <c r="F14" s="5"/>
      <c r="G14" s="5"/>
      <c r="H14" s="5"/>
      <c r="I14" s="5"/>
    </row>
    <row r="15" customFormat="false" ht="15" hidden="false" customHeight="true" outlineLevel="0" collapsed="false">
      <c r="B15" s="7" t="s">
        <v>21</v>
      </c>
      <c r="C15" s="8" t="n">
        <v>0.2</v>
      </c>
      <c r="D15" s="5" t="s">
        <v>22</v>
      </c>
      <c r="E15" s="5"/>
      <c r="F15" s="5"/>
      <c r="G15" s="5"/>
      <c r="H15" s="5"/>
      <c r="I15" s="5"/>
    </row>
    <row r="16" customFormat="false" ht="15" hidden="false" customHeight="true" outlineLevel="0" collapsed="false">
      <c r="B16" s="7" t="s">
        <v>23</v>
      </c>
      <c r="C16" s="8" t="n">
        <v>0.2</v>
      </c>
      <c r="D16" s="5" t="s">
        <v>24</v>
      </c>
      <c r="E16" s="5"/>
      <c r="F16" s="5"/>
      <c r="G16" s="5"/>
      <c r="H16" s="5"/>
      <c r="I16" s="5"/>
    </row>
    <row r="17" customFormat="false" ht="15" hidden="false" customHeight="true" outlineLevel="0" collapsed="false">
      <c r="B17" s="7" t="s">
        <v>25</v>
      </c>
      <c r="C17" s="8" t="n">
        <v>0.05</v>
      </c>
      <c r="D17" s="5" t="s">
        <v>26</v>
      </c>
      <c r="E17" s="5"/>
      <c r="F17" s="5"/>
      <c r="G17" s="5"/>
      <c r="H17" s="5"/>
      <c r="I17" s="5"/>
    </row>
    <row r="18" customFormat="false" ht="15" hidden="false" customHeight="true" outlineLevel="0" collapsed="false">
      <c r="B18" s="7" t="s">
        <v>27</v>
      </c>
      <c r="C18" s="8" t="n">
        <v>0.1</v>
      </c>
      <c r="D18" s="5" t="s">
        <v>28</v>
      </c>
      <c r="E18" s="5"/>
      <c r="F18" s="5"/>
      <c r="G18" s="5"/>
      <c r="H18" s="5"/>
      <c r="I18" s="5"/>
    </row>
    <row r="19" customFormat="false" ht="15" hidden="false" customHeight="true" outlineLevel="0" collapsed="false">
      <c r="B19" s="7" t="s">
        <v>29</v>
      </c>
      <c r="C19" s="8" t="n">
        <v>0.1</v>
      </c>
      <c r="D19" s="5" t="s">
        <v>30</v>
      </c>
      <c r="E19" s="5"/>
      <c r="F19" s="5"/>
      <c r="G19" s="5"/>
      <c r="H19" s="5"/>
      <c r="I19" s="5"/>
    </row>
    <row r="20" customFormat="false" ht="15" hidden="false" customHeight="false" outlineLevel="0" collapsed="false">
      <c r="B20" s="4" t="s">
        <v>31</v>
      </c>
      <c r="C20" s="9" t="n">
        <f aca="false">SUM(C14:C19)</f>
        <v>1</v>
      </c>
      <c r="D20" s="2" t="s">
        <v>32</v>
      </c>
    </row>
    <row r="22" customFormat="false" ht="15" hidden="false" customHeight="false" outlineLevel="0" collapsed="false">
      <c r="B22" s="3" t="s">
        <v>33</v>
      </c>
    </row>
    <row r="23" customFormat="false" ht="15" hidden="false" customHeight="false" outlineLevel="0" collapsed="false">
      <c r="B23" s="6" t="s">
        <v>34</v>
      </c>
      <c r="C23" s="6" t="s">
        <v>35</v>
      </c>
      <c r="D23" s="6" t="s">
        <v>36</v>
      </c>
    </row>
    <row r="24" customFormat="false" ht="15" hidden="false" customHeight="true" outlineLevel="0" collapsed="false">
      <c r="B24" s="4" t="s">
        <v>37</v>
      </c>
      <c r="C24" s="10" t="n">
        <v>5</v>
      </c>
      <c r="D24" s="5" t="s">
        <v>38</v>
      </c>
      <c r="E24" s="5"/>
      <c r="F24" s="5"/>
      <c r="G24" s="5"/>
      <c r="H24" s="5"/>
      <c r="I24" s="5"/>
    </row>
    <row r="25" customFormat="false" ht="15" hidden="false" customHeight="true" outlineLevel="0" collapsed="false">
      <c r="B25" s="4" t="s">
        <v>39</v>
      </c>
      <c r="C25" s="10" t="n">
        <v>4</v>
      </c>
      <c r="D25" s="5" t="s">
        <v>40</v>
      </c>
      <c r="E25" s="5"/>
      <c r="F25" s="5"/>
      <c r="G25" s="5"/>
      <c r="H25" s="5"/>
      <c r="I25" s="5"/>
    </row>
    <row r="26" customFormat="false" ht="15" hidden="false" customHeight="true" outlineLevel="0" collapsed="false">
      <c r="B26" s="4" t="s">
        <v>41</v>
      </c>
      <c r="C26" s="10" t="n">
        <v>3</v>
      </c>
      <c r="D26" s="5" t="s">
        <v>42</v>
      </c>
      <c r="E26" s="5"/>
      <c r="F26" s="5"/>
      <c r="G26" s="5"/>
      <c r="H26" s="5"/>
      <c r="I26" s="5"/>
    </row>
    <row r="27" customFormat="false" ht="15" hidden="false" customHeight="true" outlineLevel="0" collapsed="false">
      <c r="B27" s="4" t="s">
        <v>43</v>
      </c>
      <c r="C27" s="10" t="n">
        <v>2</v>
      </c>
      <c r="D27" s="5" t="s">
        <v>44</v>
      </c>
      <c r="E27" s="5"/>
      <c r="F27" s="5"/>
      <c r="G27" s="5"/>
      <c r="H27" s="5"/>
      <c r="I27" s="5"/>
    </row>
    <row r="28" customFormat="false" ht="15" hidden="false" customHeight="true" outlineLevel="0" collapsed="false">
      <c r="B28" s="4" t="s">
        <v>45</v>
      </c>
      <c r="C28" s="10" t="n">
        <v>1</v>
      </c>
      <c r="D28" s="5" t="s">
        <v>46</v>
      </c>
      <c r="E28" s="5"/>
      <c r="F28" s="5"/>
      <c r="G28" s="5"/>
      <c r="H28" s="5"/>
      <c r="I28" s="5"/>
    </row>
    <row r="29" customFormat="false" ht="15" hidden="false" customHeight="true" outlineLevel="0" collapsed="false">
      <c r="B29" s="4" t="s">
        <v>47</v>
      </c>
      <c r="C29" s="10" t="s">
        <v>48</v>
      </c>
      <c r="D29" s="5" t="s">
        <v>49</v>
      </c>
      <c r="E29" s="5"/>
      <c r="F29" s="5"/>
      <c r="G29" s="5"/>
      <c r="H29" s="5"/>
      <c r="I29" s="5"/>
    </row>
    <row r="31" customFormat="false" ht="15" hidden="false" customHeight="false" outlineLevel="0" collapsed="false">
      <c r="B31" s="3" t="s">
        <v>50</v>
      </c>
    </row>
    <row r="32" customFormat="false" ht="15" hidden="false" customHeight="false" outlineLevel="0" collapsed="false">
      <c r="B32" s="7" t="s">
        <v>51</v>
      </c>
      <c r="C32" s="11" t="n">
        <f aca="false">COUNTA(İlanlar!$C$5:$C$47)</f>
        <v>43</v>
      </c>
    </row>
    <row r="33" customFormat="false" ht="15" hidden="false" customHeight="false" outlineLevel="0" collapsed="false">
      <c r="B33" s="7" t="s">
        <v>52</v>
      </c>
      <c r="C33" s="11" t="n">
        <f aca="false">COUNTIF(İlanlar!$Z$5:$Z$47,"A*")</f>
        <v>8</v>
      </c>
    </row>
    <row r="34" customFormat="false" ht="15" hidden="false" customHeight="false" outlineLevel="0" collapsed="false">
      <c r="B34" s="7" t="s">
        <v>53</v>
      </c>
      <c r="C34" s="11" t="n">
        <f aca="false">COUNTIF(İlanlar!$Z$5:$Z$47,"B*")</f>
        <v>28</v>
      </c>
    </row>
    <row r="35" customFormat="false" ht="15" hidden="false" customHeight="false" outlineLevel="0" collapsed="false">
      <c r="B35" s="7" t="s">
        <v>54</v>
      </c>
      <c r="C35" s="11" t="n">
        <f aca="false">COUNTIF(İlanlar!$Z$5:$Z$47,"C*")</f>
        <v>7</v>
      </c>
    </row>
    <row r="36" customFormat="false" ht="15" hidden="false" customHeight="false" outlineLevel="0" collapsed="false">
      <c r="B36" s="7" t="s">
        <v>55</v>
      </c>
      <c r="C36" s="11" t="n">
        <f aca="false">COUNTIF(İlanlar!$Z$5:$Z$47,"Takip*")</f>
        <v>0</v>
      </c>
    </row>
    <row r="37" customFormat="false" ht="15" hidden="false" customHeight="false" outlineLevel="0" collapsed="false">
      <c r="B37" s="7" t="s">
        <v>56</v>
      </c>
      <c r="C37" s="11" t="n">
        <f aca="false">COUNTIF(İlanlar!$G$5:$G$47,"EN")</f>
        <v>9</v>
      </c>
    </row>
    <row r="38" customFormat="false" ht="15" hidden="false" customHeight="false" outlineLevel="0" collapsed="false">
      <c r="B38" s="7" t="s">
        <v>57</v>
      </c>
      <c r="C38" s="11" t="n">
        <f aca="false">COUNTIF(İlanlar!$G$5:$G$47,"EN+DE")</f>
        <v>7</v>
      </c>
    </row>
    <row r="39" customFormat="false" ht="15" hidden="false" customHeight="false" outlineLevel="0" collapsed="false">
      <c r="B39" s="7" t="s">
        <v>58</v>
      </c>
      <c r="C39" s="11" t="n">
        <f aca="false">COUNTIF(İlanlar!$G$5:$G$47,"DE")+COUNTIF(İlanlar!$G$5:$G$47,"DE C1")</f>
        <v>27</v>
      </c>
    </row>
    <row r="40" customFormat="false" ht="15" hidden="false" customHeight="false" outlineLevel="0" collapsed="false">
      <c r="B40" s="7" t="s">
        <v>59</v>
      </c>
      <c r="C40" s="11" t="n">
        <f aca="false">COUNTIF(İlanlar!$K$5:$K$47,"GÜNCEL*")</f>
        <v>4</v>
      </c>
    </row>
    <row r="41" customFormat="false" ht="15" hidden="false" customHeight="false" outlineLevel="0" collapsed="false">
      <c r="B41" s="7" t="s">
        <v>60</v>
      </c>
      <c r="C41" s="11" t="n">
        <f aca="false">COUNTIF(İlanlar!$K$5:$K$47,"AÇIK*")</f>
        <v>39</v>
      </c>
    </row>
    <row r="42" customFormat="false" ht="15" hidden="false" customHeight="false" outlineLevel="0" collapsed="false">
      <c r="B42" s="7" t="s">
        <v>61</v>
      </c>
      <c r="C42" s="11" t="n">
        <v>94</v>
      </c>
    </row>
    <row r="43" customFormat="false" ht="15" hidden="false" customHeight="false" outlineLevel="0" collapsed="false">
      <c r="B43" s="7" t="s">
        <v>62</v>
      </c>
      <c r="C43" s="12" t="n">
        <f aca="false">AVERAGE(İlanlar!$X$5:$X$47)</f>
        <v>0.727209302325581</v>
      </c>
    </row>
    <row r="44" customFormat="false" ht="15" hidden="false" customHeight="false" outlineLevel="0" collapsed="false">
      <c r="B44" s="7" t="s">
        <v>63</v>
      </c>
      <c r="C44" s="12" t="n">
        <f aca="false">MAX(İlanlar!$X$5:$X$47)</f>
        <v>0.97</v>
      </c>
    </row>
    <row r="46" customFormat="false" ht="15" hidden="false" customHeight="false" outlineLevel="0" collapsed="false">
      <c r="B46" s="3" t="s">
        <v>64</v>
      </c>
    </row>
    <row r="47" customFormat="false" ht="15" hidden="false" customHeight="false" outlineLevel="0" collapsed="false">
      <c r="B47" s="13" t="s">
        <v>65</v>
      </c>
      <c r="C47" s="13" t="s">
        <v>66</v>
      </c>
      <c r="D47" s="13" t="s">
        <v>67</v>
      </c>
      <c r="E47" s="13" t="s">
        <v>68</v>
      </c>
      <c r="F47" s="13" t="s">
        <v>69</v>
      </c>
      <c r="G47" s="13" t="s">
        <v>70</v>
      </c>
      <c r="H47" s="13" t="s">
        <v>71</v>
      </c>
      <c r="I47" s="13" t="s">
        <v>72</v>
      </c>
    </row>
    <row r="48" customFormat="false" ht="25.5" hidden="false" customHeight="true" outlineLevel="0" collapsed="false">
      <c r="B48" s="14" t="str">
        <f aca="false">INDEX(İlanlar!$B$5:$B$47,MATCH(C48,İlanlar!$Y$5:$Y$47,0))</f>
        <v>PALFINGER AG</v>
      </c>
      <c r="C48" s="15" t="n">
        <v>1</v>
      </c>
      <c r="D48" s="14" t="str">
        <f aca="false">INDEX(İlanlar!$C$5:$C$47,MATCH(C48,İlanlar!$Y$5:$Y$47,0))</f>
        <v>Infrastructure Operations Manager (m/f/d)</v>
      </c>
      <c r="E48" s="14" t="str">
        <f aca="false">INDEX(İlanlar!$D$5:$D$47,MATCH(C48,İlanlar!$Y$5:$Y$47,0))</f>
        <v>Bergheim (+Wien)</v>
      </c>
      <c r="F48" s="14" t="str">
        <f aca="false">INDEX(İlanlar!$G$5:$G$47,MATCH(C48,İlanlar!$Y$5:$Y$47,0))</f>
        <v>EN</v>
      </c>
      <c r="G48" s="16" t="n">
        <f aca="false">INDEX(İlanlar!$X$5:$X$47,MATCH(C48,İlanlar!$Y$5:$Y$47,0))</f>
        <v>0.97</v>
      </c>
      <c r="H48" s="14" t="str">
        <f aca="false">INDEX(İlanlar!$Z$5:$Z$47,MATCH(C48,İlanlar!$Y$5:$Y$47,0))</f>
        <v>A – Hemen başvur</v>
      </c>
      <c r="I48" s="14" t="str">
        <f aca="false">INDEX(İlanlar!$K$5:$K$47,MATCH(C48,İlanlar!$Y$5:$Y$47,0))</f>
        <v>AÇIK OLABİLİR – linki kontrol et</v>
      </c>
    </row>
    <row r="49" customFormat="false" ht="25.5" hidden="false" customHeight="true" outlineLevel="0" collapsed="false">
      <c r="B49" s="14" t="str">
        <f aca="false">INDEX(İlanlar!$B$5:$B$47,MATCH(C49,İlanlar!$Y$5:$Y$47,0))</f>
        <v>Wüstenrot Gruppe</v>
      </c>
      <c r="C49" s="15" t="n">
        <v>2</v>
      </c>
      <c r="D49" s="14" t="str">
        <f aca="false">INDEX(İlanlar!$C$5:$C$47,MATCH(C49,İlanlar!$Y$5:$Y$47,0))</f>
        <v>Information Security Manager:in (m/w/d)</v>
      </c>
      <c r="E49" s="14" t="str">
        <f aca="false">INDEX(İlanlar!$D$5:$D$47,MATCH(C49,İlanlar!$Y$5:$Y$47,0))</f>
        <v>Salzburg / Wien</v>
      </c>
      <c r="F49" s="14" t="str">
        <f aca="false">INDEX(İlanlar!$G$5:$G$47,MATCH(C49,İlanlar!$Y$5:$Y$47,0))</f>
        <v>DE</v>
      </c>
      <c r="G49" s="16" t="n">
        <f aca="false">INDEX(İlanlar!$X$5:$X$47,MATCH(C49,İlanlar!$Y$5:$Y$47,0))</f>
        <v>0.85</v>
      </c>
      <c r="H49" s="14" t="str">
        <f aca="false">INDEX(İlanlar!$Z$5:$Z$47,MATCH(C49,İlanlar!$Y$5:$Y$47,0))</f>
        <v>A – Hemen başvur</v>
      </c>
      <c r="I49" s="14" t="str">
        <f aca="false">INDEX(İlanlar!$K$5:$K$47,MATCH(C49,İlanlar!$Y$5:$Y$47,0))</f>
        <v>AÇIK OLABİLİR – linki kontrol et</v>
      </c>
    </row>
    <row r="50" customFormat="false" ht="25.5" hidden="false" customHeight="true" outlineLevel="0" collapsed="false">
      <c r="B50" s="14" t="str">
        <f aca="false">INDEX(İlanlar!$B$5:$B$47,MATCH(C50,İlanlar!$Y$5:$Y$47,0))</f>
        <v>Insight Assurance</v>
      </c>
      <c r="C50" s="15" t="n">
        <v>3</v>
      </c>
      <c r="D50" s="14" t="str">
        <f aca="false">INDEX(İlanlar!$C$5:$C$47,MATCH(C50,İlanlar!$Y$5:$Y$47,0))</f>
        <v>ISO 27001 Senior Auditor – EMEA (remote)</v>
      </c>
      <c r="E50" s="14" t="str">
        <f aca="false">INDEX(İlanlar!$D$5:$D$47,MATCH(C50,İlanlar!$Y$5:$Y$47,0))</f>
        <v>Remote (EMEA)</v>
      </c>
      <c r="F50" s="14" t="str">
        <f aca="false">INDEX(İlanlar!$G$5:$G$47,MATCH(C50,İlanlar!$Y$5:$Y$47,0))</f>
        <v>EN</v>
      </c>
      <c r="G50" s="16" t="n">
        <f aca="false">INDEX(İlanlar!$X$5:$X$47,MATCH(C50,İlanlar!$Y$5:$Y$47,0))</f>
        <v>0.85</v>
      </c>
      <c r="H50" s="14" t="str">
        <f aca="false">INDEX(İlanlar!$Z$5:$Z$47,MATCH(C50,İlanlar!$Y$5:$Y$47,0))</f>
        <v>A – Hemen başvur</v>
      </c>
      <c r="I50" s="14" t="str">
        <f aca="false">INDEX(İlanlar!$K$5:$K$47,MATCH(C50,İlanlar!$Y$5:$Y$47,0))</f>
        <v>AÇIK OLABİLİR – linki kontrol et</v>
      </c>
    </row>
    <row r="51" customFormat="false" ht="25.5" hidden="false" customHeight="true" outlineLevel="0" collapsed="false">
      <c r="B51" s="14" t="str">
        <f aca="false">INDEX(İlanlar!$B$5:$B$47,MATCH(C51,İlanlar!$Y$5:$Y$47,0))</f>
        <v>PALFINGER AG</v>
      </c>
      <c r="C51" s="15" t="n">
        <v>4</v>
      </c>
      <c r="D51" s="14" t="str">
        <f aca="false">INDEX(İlanlar!$C$5:$C$47,MATCH(C51,İlanlar!$Y$5:$Y$47,0))</f>
        <v>IT Project Manager (ICT Infrastructure)</v>
      </c>
      <c r="E51" s="14" t="str">
        <f aca="false">INDEX(İlanlar!$D$5:$D$47,MATCH(C51,İlanlar!$Y$5:$Y$47,0))</f>
        <v>Bergheim</v>
      </c>
      <c r="F51" s="14" t="str">
        <f aca="false">INDEX(İlanlar!$G$5:$G$47,MATCH(C51,İlanlar!$Y$5:$Y$47,0))</f>
        <v>EN+DE</v>
      </c>
      <c r="G51" s="16" t="n">
        <f aca="false">INDEX(İlanlar!$X$5:$X$47,MATCH(C51,İlanlar!$Y$5:$Y$47,0))</f>
        <v>0.82</v>
      </c>
      <c r="H51" s="14" t="str">
        <f aca="false">INDEX(İlanlar!$Z$5:$Z$47,MATCH(C51,İlanlar!$Y$5:$Y$47,0))</f>
        <v>A – Hemen başvur</v>
      </c>
      <c r="I51" s="14" t="str">
        <f aca="false">INDEX(İlanlar!$K$5:$K$47,MATCH(C51,İlanlar!$Y$5:$Y$47,0))</f>
        <v>AÇIK OLABİLİR – linki kontrol et</v>
      </c>
    </row>
    <row r="52" customFormat="false" ht="25.5" hidden="false" customHeight="true" outlineLevel="0" collapsed="false">
      <c r="B52" s="14" t="str">
        <f aca="false">INDEX(İlanlar!$B$5:$B$47,MATCH(C52,İlanlar!$Y$5:$Y$47,0))</f>
        <v>Red Bull GmbH</v>
      </c>
      <c r="C52" s="15" t="n">
        <v>5</v>
      </c>
      <c r="D52" s="14" t="str">
        <f aca="false">INDEX(İlanlar!$C$5:$C$47,MATCH(C52,İlanlar!$Y$5:$Y$47,0))</f>
        <v>Service Manager – Server &amp; Cloud Security</v>
      </c>
      <c r="E52" s="14" t="str">
        <f aca="false">INDEX(İlanlar!$D$5:$D$47,MATCH(C52,İlanlar!$Y$5:$Y$47,0))</f>
        <v>Elsbethen</v>
      </c>
      <c r="F52" s="14" t="str">
        <f aca="false">INDEX(İlanlar!$G$5:$G$47,MATCH(C52,İlanlar!$Y$5:$Y$47,0))</f>
        <v>EN</v>
      </c>
      <c r="G52" s="16" t="n">
        <f aca="false">INDEX(İlanlar!$X$5:$X$47,MATCH(C52,İlanlar!$Y$5:$Y$47,0))</f>
        <v>0.81</v>
      </c>
      <c r="H52" s="14" t="str">
        <f aca="false">INDEX(İlanlar!$Z$5:$Z$47,MATCH(C52,İlanlar!$Y$5:$Y$47,0))</f>
        <v>A – Hemen başvur</v>
      </c>
      <c r="I52" s="14" t="str">
        <f aca="false">INDEX(İlanlar!$K$5:$K$47,MATCH(C52,İlanlar!$Y$5:$Y$47,0))</f>
        <v>AÇIK OLABİLİR – linki kontrol et</v>
      </c>
    </row>
    <row r="53" customFormat="false" ht="25.5" hidden="false" customHeight="true" outlineLevel="0" collapsed="false">
      <c r="B53" s="14" t="str">
        <f aca="false">INDEX(İlanlar!$B$5:$B$47,MATCH(C53,İlanlar!$Y$5:$Y$47,0))</f>
        <v>Wüstenrot Gruppe</v>
      </c>
      <c r="C53" s="15" t="n">
        <v>6</v>
      </c>
      <c r="D53" s="14" t="str">
        <f aca="false">INDEX(İlanlar!$C$5:$C$47,MATCH(C53,İlanlar!$Y$5:$Y$47,0))</f>
        <v>Experte:in Information Security (m/w/d)</v>
      </c>
      <c r="E53" s="14" t="str">
        <f aca="false">INDEX(İlanlar!$D$5:$D$47,MATCH(C53,İlanlar!$Y$5:$Y$47,0))</f>
        <v>Salzburg / Wien</v>
      </c>
      <c r="F53" s="14" t="str">
        <f aca="false">INDEX(İlanlar!$G$5:$G$47,MATCH(C53,İlanlar!$Y$5:$Y$47,0))</f>
        <v>DE</v>
      </c>
      <c r="G53" s="16" t="n">
        <f aca="false">INDEX(İlanlar!$X$5:$X$47,MATCH(C53,İlanlar!$Y$5:$Y$47,0))</f>
        <v>0.81</v>
      </c>
      <c r="H53" s="14" t="str">
        <f aca="false">INDEX(İlanlar!$Z$5:$Z$47,MATCH(C53,İlanlar!$Y$5:$Y$47,0))</f>
        <v>A – Hemen başvur</v>
      </c>
      <c r="I53" s="14" t="str">
        <f aca="false">INDEX(İlanlar!$K$5:$K$47,MATCH(C53,İlanlar!$Y$5:$Y$47,0))</f>
        <v>AÇIK OLABİLİR – linki kontrol et</v>
      </c>
    </row>
    <row r="54" customFormat="false" ht="25.5" hidden="false" customHeight="true" outlineLevel="0" collapsed="false">
      <c r="B54" s="14" t="str">
        <f aca="false">INDEX(İlanlar!$B$5:$B$47,MATCH(C54,İlanlar!$Y$5:$Y$47,0))</f>
        <v>Insight Assurance</v>
      </c>
      <c r="C54" s="15" t="n">
        <v>7</v>
      </c>
      <c r="D54" s="14" t="str">
        <f aca="false">INDEX(İlanlar!$C$5:$C$47,MATCH(C54,İlanlar!$Y$5:$Y$47,0))</f>
        <v>Staff ISO 27001 Auditor – EMEA (remote)</v>
      </c>
      <c r="E54" s="14" t="str">
        <f aca="false">INDEX(İlanlar!$D$5:$D$47,MATCH(C54,İlanlar!$Y$5:$Y$47,0))</f>
        <v>Remote (EMEA)</v>
      </c>
      <c r="F54" s="14" t="str">
        <f aca="false">INDEX(İlanlar!$G$5:$G$47,MATCH(C54,İlanlar!$Y$5:$Y$47,0))</f>
        <v>EN</v>
      </c>
      <c r="G54" s="16" t="n">
        <f aca="false">INDEX(İlanlar!$X$5:$X$47,MATCH(C54,İlanlar!$Y$5:$Y$47,0))</f>
        <v>0.81</v>
      </c>
      <c r="H54" s="14" t="str">
        <f aca="false">INDEX(İlanlar!$Z$5:$Z$47,MATCH(C54,İlanlar!$Y$5:$Y$47,0))</f>
        <v>A – Hemen başvur</v>
      </c>
      <c r="I54" s="14" t="str">
        <f aca="false">INDEX(İlanlar!$K$5:$K$47,MATCH(C54,İlanlar!$Y$5:$Y$47,0))</f>
        <v>AÇIK OLABİLİR – linki kontrol et</v>
      </c>
    </row>
    <row r="55" customFormat="false" ht="25.5" hidden="false" customHeight="true" outlineLevel="0" collapsed="false">
      <c r="B55" s="14" t="str">
        <f aca="false">INDEX(İlanlar!$B$5:$B$47,MATCH(C55,İlanlar!$Y$5:$Y$47,0))</f>
        <v>KERN engineering careers (müşteri firma)</v>
      </c>
      <c r="C55" s="15" t="n">
        <v>8</v>
      </c>
      <c r="D55" s="14" t="str">
        <f aca="false">INDEX(İlanlar!$C$5:$C$47,MATCH(C55,İlanlar!$Y$5:$Y$47,0))</f>
        <v>Information Security Consultant / Projektleitung Informationssicherheit</v>
      </c>
      <c r="E55" s="14" t="str">
        <f aca="false">INDEX(İlanlar!$D$5:$D$47,MATCH(C55,İlanlar!$Y$5:$Y$47,0))</f>
        <v>Salzburg (+Graz, Klagenfurt, Wels, Wien)</v>
      </c>
      <c r="F55" s="14" t="str">
        <f aca="false">INDEX(İlanlar!$G$5:$G$47,MATCH(C55,İlanlar!$Y$5:$Y$47,0))</f>
        <v>DE</v>
      </c>
      <c r="G55" s="16" t="n">
        <f aca="false">INDEX(İlanlar!$X$5:$X$47,MATCH(C55,İlanlar!$Y$5:$Y$47,0))</f>
        <v>0.8</v>
      </c>
      <c r="H55" s="14" t="str">
        <f aca="false">INDEX(İlanlar!$Z$5:$Z$47,MATCH(C55,İlanlar!$Y$5:$Y$47,0))</f>
        <v>A – Hemen başvur</v>
      </c>
      <c r="I55" s="14" t="str">
        <f aca="false">INDEX(İlanlar!$K$5:$K$47,MATCH(C55,İlanlar!$Y$5:$Y$47,0))</f>
        <v>AÇIK OLABİLİR – linki kontrol et</v>
      </c>
    </row>
    <row r="56" customFormat="false" ht="25.5" hidden="false" customHeight="true" outlineLevel="0" collapsed="false">
      <c r="B56" s="14" t="str">
        <f aca="false">INDEX(İlanlar!$B$5:$B$47,MATCH(C56,İlanlar!$Y$5:$Y$47,0))</f>
        <v>Senoplast Klepsch &amp; Co GmbH</v>
      </c>
      <c r="C56" s="15" t="n">
        <v>9</v>
      </c>
      <c r="D56" s="14" t="str">
        <f aca="false">INDEX(İlanlar!$C$5:$C$47,MATCH(C56,İlanlar!$Y$5:$Y$47,0))</f>
        <v>IT Operations &amp; Security Manager (m/w/d)</v>
      </c>
      <c r="E56" s="14" t="str">
        <f aca="false">INDEX(İlanlar!$D$5:$D$47,MATCH(C56,İlanlar!$Y$5:$Y$47,0))</f>
        <v>Piesendorf (Pinzgau)</v>
      </c>
      <c r="F56" s="14" t="str">
        <f aca="false">INDEX(İlanlar!$G$5:$G$47,MATCH(C56,İlanlar!$Y$5:$Y$47,0))</f>
        <v>DE</v>
      </c>
      <c r="G56" s="16" t="n">
        <f aca="false">INDEX(İlanlar!$X$5:$X$47,MATCH(C56,İlanlar!$Y$5:$Y$47,0))</f>
        <v>0.79</v>
      </c>
      <c r="H56" s="14" t="str">
        <f aca="false">INDEX(İlanlar!$Z$5:$Z$47,MATCH(C56,İlanlar!$Y$5:$Y$47,0))</f>
        <v>B – Başvur</v>
      </c>
      <c r="I56" s="14" t="str">
        <f aca="false">INDEX(İlanlar!$K$5:$K$47,MATCH(C56,İlanlar!$Y$5:$Y$47,0))</f>
        <v>GÜNCEL (tarih teyitli)</v>
      </c>
    </row>
    <row r="57" customFormat="false" ht="25.5" hidden="false" customHeight="true" outlineLevel="0" collapsed="false">
      <c r="B57" s="14" t="str">
        <f aca="false">INDEX(İlanlar!$B$5:$B$47,MATCH(C57,İlanlar!$Y$5:$Y$47,0))</f>
        <v>TECHSEARCH (müşteri: ~200 çalışanlı Salzburg firması)</v>
      </c>
      <c r="C57" s="15" t="n">
        <v>10</v>
      </c>
      <c r="D57" s="14" t="str">
        <f aca="false">INDEX(İlanlar!$C$5:$C$47,MATCH(C57,İlanlar!$Y$5:$Y$47,0))</f>
        <v>IT-Teamleiter:in</v>
      </c>
      <c r="E57" s="14" t="str">
        <f aca="false">INDEX(İlanlar!$D$5:$D$47,MATCH(C57,İlanlar!$Y$5:$Y$47,0))</f>
        <v>Salzburg Stadt</v>
      </c>
      <c r="F57" s="14" t="str">
        <f aca="false">INDEX(İlanlar!$G$5:$G$47,MATCH(C57,İlanlar!$Y$5:$Y$47,0))</f>
        <v>DE</v>
      </c>
      <c r="G57" s="16" t="n">
        <f aca="false">INDEX(İlanlar!$X$5:$X$47,MATCH(C57,İlanlar!$Y$5:$Y$47,0))</f>
        <v>0.79</v>
      </c>
      <c r="H57" s="14" t="str">
        <f aca="false">INDEX(İlanlar!$Z$5:$Z$47,MATCH(C57,İlanlar!$Y$5:$Y$47,0))</f>
        <v>B – Başvur</v>
      </c>
      <c r="I57" s="14" t="str">
        <f aca="false">INDEX(İlanlar!$K$5:$K$47,MATCH(C57,İlanlar!$Y$5:$Y$47,0))</f>
        <v>AÇIK OLABİLİR – linki kontrol et</v>
      </c>
    </row>
    <row r="58" customFormat="false" ht="25.5" hidden="false" customHeight="true" outlineLevel="0" collapsed="false">
      <c r="B58" s="14" t="str">
        <f aca="false">INDEX(İlanlar!$B$5:$B$47,MATCH(C58,İlanlar!$Y$5:$Y$47,0))</f>
        <v>PALFINGER AG</v>
      </c>
      <c r="C58" s="15" t="n">
        <v>11</v>
      </c>
      <c r="D58" s="14" t="str">
        <f aca="false">INDEX(İlanlar!$C$5:$C$47,MATCH(C58,İlanlar!$Y$5:$Y$47,0))</f>
        <v>Cyber Security Engineer (f/m/d)</v>
      </c>
      <c r="E58" s="14" t="str">
        <f aca="false">INDEX(İlanlar!$D$5:$D$47,MATCH(C58,İlanlar!$Y$5:$Y$47,0))</f>
        <v>Bergheim</v>
      </c>
      <c r="F58" s="14" t="str">
        <f aca="false">INDEX(İlanlar!$G$5:$G$47,MATCH(C58,İlanlar!$Y$5:$Y$47,0))</f>
        <v>EN</v>
      </c>
      <c r="G58" s="16" t="n">
        <f aca="false">INDEX(İlanlar!$X$5:$X$47,MATCH(C58,İlanlar!$Y$5:$Y$47,0))</f>
        <v>0.79</v>
      </c>
      <c r="H58" s="14" t="str">
        <f aca="false">INDEX(İlanlar!$Z$5:$Z$47,MATCH(C58,İlanlar!$Y$5:$Y$47,0))</f>
        <v>B – Başvur</v>
      </c>
      <c r="I58" s="14" t="str">
        <f aca="false">INDEX(İlanlar!$K$5:$K$47,MATCH(C58,İlanlar!$Y$5:$Y$47,0))</f>
        <v>GÜNCEL (tarih teyitli)</v>
      </c>
    </row>
    <row r="59" customFormat="false" ht="25.5" hidden="false" customHeight="true" outlineLevel="0" collapsed="false">
      <c r="B59" s="14" t="str">
        <f aca="false">INDEX(İlanlar!$B$5:$B$47,MATCH(C59,İlanlar!$Y$5:$Y$47,0))</f>
        <v>SKIDATA GmbH</v>
      </c>
      <c r="C59" s="15" t="n">
        <v>12</v>
      </c>
      <c r="D59" s="14" t="str">
        <f aca="false">INDEX(İlanlar!$C$5:$C$47,MATCH(C59,İlanlar!$Y$5:$Y$47,0))</f>
        <v>Global Service Performance Manager</v>
      </c>
      <c r="E59" s="14" t="str">
        <f aca="false">INDEX(İlanlar!$D$5:$D$47,MATCH(C59,İlanlar!$Y$5:$Y$47,0))</f>
        <v>Grödig</v>
      </c>
      <c r="F59" s="14" t="str">
        <f aca="false">INDEX(İlanlar!$G$5:$G$47,MATCH(C59,İlanlar!$Y$5:$Y$47,0))</f>
        <v>EN</v>
      </c>
      <c r="G59" s="16" t="n">
        <f aca="false">INDEX(İlanlar!$X$5:$X$47,MATCH(C59,İlanlar!$Y$5:$Y$47,0))</f>
        <v>0.79</v>
      </c>
      <c r="H59" s="14" t="str">
        <f aca="false">INDEX(İlanlar!$Z$5:$Z$47,MATCH(C59,İlanlar!$Y$5:$Y$47,0))</f>
        <v>B – Başvur</v>
      </c>
      <c r="I59" s="14" t="str">
        <f aca="false">INDEX(İlanlar!$K$5:$K$47,MATCH(C59,İlanlar!$Y$5:$Y$47,0))</f>
        <v>AÇIK OLABİLİR – linki kontrol et</v>
      </c>
    </row>
    <row r="60" customFormat="false" ht="25.5" hidden="false" customHeight="true" outlineLevel="0" collapsed="false">
      <c r="B60" s="14" t="str">
        <f aca="false">INDEX(İlanlar!$B$5:$B$47,MATCH(C60,İlanlar!$Y$5:$Y$47,0))</f>
        <v>Red Bull GmbH</v>
      </c>
      <c r="C60" s="15" t="n">
        <v>13</v>
      </c>
      <c r="D60" s="14" t="str">
        <f aca="false">INDEX(İlanlar!$C$5:$C$47,MATCH(C60,İlanlar!$Y$5:$Y$47,0))</f>
        <v>Service Manager – Security Incident Management</v>
      </c>
      <c r="E60" s="14" t="str">
        <f aca="false">INDEX(İlanlar!$D$5:$D$47,MATCH(C60,İlanlar!$Y$5:$Y$47,0))</f>
        <v>Elsbethen</v>
      </c>
      <c r="F60" s="14" t="str">
        <f aca="false">INDEX(İlanlar!$G$5:$G$47,MATCH(C60,İlanlar!$Y$5:$Y$47,0))</f>
        <v>EN</v>
      </c>
      <c r="G60" s="16" t="n">
        <f aca="false">INDEX(İlanlar!$X$5:$X$47,MATCH(C60,İlanlar!$Y$5:$Y$47,0))</f>
        <v>0.77</v>
      </c>
      <c r="H60" s="14" t="str">
        <f aca="false">INDEX(İlanlar!$Z$5:$Z$47,MATCH(C60,İlanlar!$Y$5:$Y$47,0))</f>
        <v>B – Başvur</v>
      </c>
      <c r="I60" s="14" t="str">
        <f aca="false">INDEX(İlanlar!$K$5:$K$47,MATCH(C60,İlanlar!$Y$5:$Y$47,0))</f>
        <v>AÇIK OLABİLİR – linki kontrol et</v>
      </c>
    </row>
    <row r="61" customFormat="false" ht="25.5" hidden="false" customHeight="true" outlineLevel="0" collapsed="false">
      <c r="B61" s="14" t="str">
        <f aca="false">INDEX(İlanlar!$B$5:$B$47,MATCH(C61,İlanlar!$Y$5:$Y$47,0))</f>
        <v>Red Bull GmbH</v>
      </c>
      <c r="C61" s="15" t="n">
        <v>14</v>
      </c>
      <c r="D61" s="14" t="str">
        <f aca="false">INDEX(İlanlar!$C$5:$C$47,MATCH(C61,İlanlar!$Y$5:$Y$47,0))</f>
        <v>Infrastructure Architect</v>
      </c>
      <c r="E61" s="14" t="str">
        <f aca="false">INDEX(İlanlar!$D$5:$D$47,MATCH(C61,İlanlar!$Y$5:$Y$47,0))</f>
        <v>Elsbethen</v>
      </c>
      <c r="F61" s="14" t="str">
        <f aca="false">INDEX(İlanlar!$G$5:$G$47,MATCH(C61,İlanlar!$Y$5:$Y$47,0))</f>
        <v>EN</v>
      </c>
      <c r="G61" s="16" t="n">
        <f aca="false">INDEX(İlanlar!$X$5:$X$47,MATCH(C61,İlanlar!$Y$5:$Y$47,0))</f>
        <v>0.77</v>
      </c>
      <c r="H61" s="14" t="str">
        <f aca="false">INDEX(İlanlar!$Z$5:$Z$47,MATCH(C61,İlanlar!$Y$5:$Y$47,0))</f>
        <v>B – Başvur</v>
      </c>
      <c r="I61" s="14" t="str">
        <f aca="false">INDEX(İlanlar!$K$5:$K$47,MATCH(C61,İlanlar!$Y$5:$Y$47,0))</f>
        <v>AÇIK OLABİLİR – linki kontrol et</v>
      </c>
    </row>
    <row r="62" customFormat="false" ht="25.5" hidden="false" customHeight="true" outlineLevel="0" collapsed="false">
      <c r="B62" s="14" t="str">
        <f aca="false">INDEX(İlanlar!$B$5:$B$47,MATCH(C62,İlanlar!$Y$5:$Y$47,0))</f>
        <v>Hammerer Aluminium Industries (HAI)</v>
      </c>
      <c r="C62" s="15" t="n">
        <v>15</v>
      </c>
      <c r="D62" s="14" t="str">
        <f aca="false">INDEX(İlanlar!$C$5:$C$47,MATCH(C62,İlanlar!$Y$5:$Y$47,0))</f>
        <v>Information Security &amp; Compliance Specialist – NIS-2 / TISAX (Cyber Security Koordinator)</v>
      </c>
      <c r="E62" s="14" t="str">
        <f aca="false">INDEX(İlanlar!$D$5:$D$47,MATCH(C62,İlanlar!$Y$5:$Y$47,0))</f>
        <v>Ranshofen (OÖ)</v>
      </c>
      <c r="F62" s="14" t="str">
        <f aca="false">INDEX(İlanlar!$G$5:$G$47,MATCH(C62,İlanlar!$Y$5:$Y$47,0))</f>
        <v>DE</v>
      </c>
      <c r="G62" s="16" t="n">
        <f aca="false">INDEX(İlanlar!$X$5:$X$47,MATCH(C62,İlanlar!$Y$5:$Y$47,0))</f>
        <v>0.77</v>
      </c>
      <c r="H62" s="14" t="str">
        <f aca="false">INDEX(İlanlar!$Z$5:$Z$47,MATCH(C62,İlanlar!$Y$5:$Y$47,0))</f>
        <v>B – Başvur</v>
      </c>
      <c r="I62" s="14" t="str">
        <f aca="false">INDEX(İlanlar!$K$5:$K$47,MATCH(C62,İlanlar!$Y$5:$Y$47,0))</f>
        <v>AÇIK OLABİLİR – linki kontrol et</v>
      </c>
    </row>
    <row r="63" customFormat="false" ht="25.5" hidden="false" customHeight="true" outlineLevel="0" collapsed="false">
      <c r="B63" s="14" t="str">
        <f aca="false">INDEX(İlanlar!$B$5:$B$47,MATCH(C63,İlanlar!$Y$5:$Y$47,0))</f>
        <v>KTM AG</v>
      </c>
      <c r="C63" s="15" t="n">
        <v>16</v>
      </c>
      <c r="D63" s="14" t="str">
        <f aca="false">INDEX(İlanlar!$C$5:$C$47,MATCH(C63,İlanlar!$Y$5:$Y$47,0))</f>
        <v>Head of IT Infrastructure &amp; Operations</v>
      </c>
      <c r="E63" s="14" t="str">
        <f aca="false">INDEX(İlanlar!$D$5:$D$47,MATCH(C63,İlanlar!$Y$5:$Y$47,0))</f>
        <v>Mattighofen (OÖ)</v>
      </c>
      <c r="F63" s="14" t="str">
        <f aca="false">INDEX(İlanlar!$G$5:$G$47,MATCH(C63,İlanlar!$Y$5:$Y$47,0))</f>
        <v>EN+DE</v>
      </c>
      <c r="G63" s="16" t="n">
        <f aca="false">INDEX(İlanlar!$X$5:$X$47,MATCH(C63,İlanlar!$Y$5:$Y$47,0))</f>
        <v>0.76</v>
      </c>
      <c r="H63" s="14" t="str">
        <f aca="false">INDEX(İlanlar!$Z$5:$Z$47,MATCH(C63,İlanlar!$Y$5:$Y$47,0))</f>
        <v>B – Başvur</v>
      </c>
      <c r="I63" s="14" t="str">
        <f aca="false">INDEX(İlanlar!$K$5:$K$47,MATCH(C63,İlanlar!$Y$5:$Y$47,0))</f>
        <v>AÇIK OLABİLİR – linki kontrol et</v>
      </c>
    </row>
    <row r="64" customFormat="false" ht="25.5" hidden="false" customHeight="true" outlineLevel="0" collapsed="false">
      <c r="B64" s="14" t="str">
        <f aca="false">INDEX(İlanlar!$B$5:$B$47,MATCH(C64,İlanlar!$Y$5:$Y$47,0))</f>
        <v>conova communications GmbH</v>
      </c>
      <c r="C64" s="15" t="n">
        <v>17</v>
      </c>
      <c r="D64" s="14" t="str">
        <f aca="false">INDEX(İlanlar!$C$5:$C$47,MATCH(C64,İlanlar!$Y$5:$Y$47,0))</f>
        <v>Senior Systems Engineer – Virtualisierung, Datensicherung &amp; Storage</v>
      </c>
      <c r="E64" s="14" t="str">
        <f aca="false">INDEX(İlanlar!$D$5:$D$47,MATCH(C64,İlanlar!$Y$5:$Y$47,0))</f>
        <v>Salzburg-Maxglan</v>
      </c>
      <c r="F64" s="14" t="str">
        <f aca="false">INDEX(İlanlar!$G$5:$G$47,MATCH(C64,İlanlar!$Y$5:$Y$47,0))</f>
        <v>DE</v>
      </c>
      <c r="G64" s="16" t="n">
        <f aca="false">INDEX(İlanlar!$X$5:$X$47,MATCH(C64,İlanlar!$Y$5:$Y$47,0))</f>
        <v>0.76</v>
      </c>
      <c r="H64" s="14" t="str">
        <f aca="false">INDEX(İlanlar!$Z$5:$Z$47,MATCH(C64,İlanlar!$Y$5:$Y$47,0))</f>
        <v>B – Başvur</v>
      </c>
      <c r="I64" s="14" t="str">
        <f aca="false">INDEX(İlanlar!$K$5:$K$47,MATCH(C64,İlanlar!$Y$5:$Y$47,0))</f>
        <v>AÇIK OLABİLİR – linki kontrol et</v>
      </c>
    </row>
    <row r="65" customFormat="false" ht="25.5" hidden="false" customHeight="true" outlineLevel="0" collapsed="false">
      <c r="B65" s="14" t="str">
        <f aca="false">INDEX(İlanlar!$B$5:$B$47,MATCH(C65,İlanlar!$Y$5:$Y$47,0))</f>
        <v>x-tention Informationstechnologie GmbH</v>
      </c>
      <c r="C65" s="15" t="n">
        <v>18</v>
      </c>
      <c r="D65" s="14" t="str">
        <f aca="false">INDEX(İlanlar!$C$5:$C$47,MATCH(C65,İlanlar!$Y$5:$Y$47,0))</f>
        <v>Senior Cyber Security Consultant &amp; Project Manager (m/w/d)</v>
      </c>
      <c r="E65" s="14" t="str">
        <f aca="false">INDEX(İlanlar!$D$5:$D$47,MATCH(C65,İlanlar!$Y$5:$Y$47,0))</f>
        <v>Salzburg Stadt (+diğer AT lokasyonları)</v>
      </c>
      <c r="F65" s="14" t="str">
        <f aca="false">INDEX(İlanlar!$G$5:$G$47,MATCH(C65,İlanlar!$Y$5:$Y$47,0))</f>
        <v>DE</v>
      </c>
      <c r="G65" s="16" t="n">
        <f aca="false">INDEX(İlanlar!$X$5:$X$47,MATCH(C65,İlanlar!$Y$5:$Y$47,0))</f>
        <v>0.75</v>
      </c>
      <c r="H65" s="14" t="str">
        <f aca="false">INDEX(İlanlar!$Z$5:$Z$47,MATCH(C65,İlanlar!$Y$5:$Y$47,0))</f>
        <v>B – Başvur</v>
      </c>
      <c r="I65" s="14" t="str">
        <f aca="false">INDEX(İlanlar!$K$5:$K$47,MATCH(C65,İlanlar!$Y$5:$Y$47,0))</f>
        <v>GÜNCEL (tarih teyitli)</v>
      </c>
    </row>
    <row r="66" customFormat="false" ht="25.5" hidden="false" customHeight="true" outlineLevel="0" collapsed="false">
      <c r="B66" s="14" t="str">
        <f aca="false">INDEX(İlanlar!$B$5:$B$47,MATCH(C66,İlanlar!$Y$5:$Y$47,0))</f>
        <v>SKIDATA GmbH</v>
      </c>
      <c r="C66" s="15" t="n">
        <v>19</v>
      </c>
      <c r="D66" s="14" t="str">
        <f aca="false">INDEX(İlanlar!$C$5:$C$47,MATCH(C66,İlanlar!$Y$5:$Y$47,0))</f>
        <v>IT System Engineer (mwd)</v>
      </c>
      <c r="E66" s="14" t="str">
        <f aca="false">INDEX(İlanlar!$D$5:$D$47,MATCH(C66,İlanlar!$Y$5:$Y$47,0))</f>
        <v>Grödig</v>
      </c>
      <c r="F66" s="14" t="str">
        <f aca="false">INDEX(İlanlar!$G$5:$G$47,MATCH(C66,İlanlar!$Y$5:$Y$47,0))</f>
        <v>EN+DE</v>
      </c>
      <c r="G66" s="16" t="n">
        <f aca="false">INDEX(İlanlar!$X$5:$X$47,MATCH(C66,İlanlar!$Y$5:$Y$47,0))</f>
        <v>0.74</v>
      </c>
      <c r="H66" s="14" t="str">
        <f aca="false">INDEX(İlanlar!$Z$5:$Z$47,MATCH(C66,İlanlar!$Y$5:$Y$47,0))</f>
        <v>B – Başvur</v>
      </c>
      <c r="I66" s="14" t="str">
        <f aca="false">INDEX(İlanlar!$K$5:$K$47,MATCH(C66,İlanlar!$Y$5:$Y$47,0))</f>
        <v>AÇIK OLABİLİR – linki kontrol et</v>
      </c>
    </row>
    <row r="67" customFormat="false" ht="25.5" hidden="false" customHeight="true" outlineLevel="0" collapsed="false">
      <c r="B67" s="14" t="str">
        <f aca="false">INDEX(İlanlar!$B$5:$B$47,MATCH(C67,İlanlar!$Y$5:$Y$47,0))</f>
        <v>ACP Gruppe</v>
      </c>
      <c r="C67" s="15" t="n">
        <v>20</v>
      </c>
      <c r="D67" s="14" t="str">
        <f aca="false">INDEX(İlanlar!$C$5:$C$47,MATCH(C67,İlanlar!$Y$5:$Y$47,0))</f>
        <v>Systemadministrator:in (Windows) – müşteri lokasyonunda</v>
      </c>
      <c r="E67" s="14" t="str">
        <f aca="false">INDEX(İlanlar!$D$5:$D$47,MATCH(C67,İlanlar!$Y$5:$Y$47,0))</f>
        <v>Salzburg</v>
      </c>
      <c r="F67" s="14" t="str">
        <f aca="false">INDEX(İlanlar!$G$5:$G$47,MATCH(C67,İlanlar!$Y$5:$Y$47,0))</f>
        <v>DE</v>
      </c>
      <c r="G67" s="16" t="n">
        <f aca="false">INDEX(İlanlar!$X$5:$X$47,MATCH(C67,İlanlar!$Y$5:$Y$47,0))</f>
        <v>0.73</v>
      </c>
      <c r="H67" s="14" t="str">
        <f aca="false">INDEX(İlanlar!$Z$5:$Z$47,MATCH(C67,İlanlar!$Y$5:$Y$47,0))</f>
        <v>B – Başvur</v>
      </c>
      <c r="I67" s="14" t="str">
        <f aca="false">INDEX(İlanlar!$K$5:$K$47,MATCH(C67,İlanlar!$Y$5:$Y$47,0))</f>
        <v>AÇIK OLABİLİR – linki kontrol et</v>
      </c>
    </row>
    <row r="68" customFormat="false" ht="25.5" hidden="false" customHeight="true" outlineLevel="0" collapsed="false">
      <c r="B68" s="14" t="str">
        <f aca="false">INDEX(İlanlar!$B$5:$B$47,MATCH(C68,İlanlar!$Y$5:$Y$47,0))</f>
        <v>Insight Assurance</v>
      </c>
      <c r="C68" s="15" t="n">
        <v>21</v>
      </c>
      <c r="D68" s="14" t="str">
        <f aca="false">INDEX(İlanlar!$C$5:$C$47,MATCH(C68,İlanlar!$Y$5:$Y$47,0))</f>
        <v>Staff Auditor ISO 27001 (Almanca konuşan, Avrupa remote)</v>
      </c>
      <c r="E68" s="14" t="str">
        <f aca="false">INDEX(İlanlar!$D$5:$D$47,MATCH(C68,İlanlar!$Y$5:$Y$47,0))</f>
        <v>Remote (Avrupa)</v>
      </c>
      <c r="F68" s="14" t="str">
        <f aca="false">INDEX(İlanlar!$G$5:$G$47,MATCH(C68,İlanlar!$Y$5:$Y$47,0))</f>
        <v>EN+DE</v>
      </c>
      <c r="G68" s="16" t="n">
        <f aca="false">INDEX(İlanlar!$X$5:$X$47,MATCH(C68,İlanlar!$Y$5:$Y$47,0))</f>
        <v>0.73</v>
      </c>
      <c r="H68" s="14" t="str">
        <f aca="false">INDEX(İlanlar!$Z$5:$Z$47,MATCH(C68,İlanlar!$Y$5:$Y$47,0))</f>
        <v>B – Başvur</v>
      </c>
      <c r="I68" s="14" t="str">
        <f aca="false">INDEX(İlanlar!$K$5:$K$47,MATCH(C68,İlanlar!$Y$5:$Y$47,0))</f>
        <v>AÇIK OLABİLİR – linki kontrol et</v>
      </c>
    </row>
    <row r="69" customFormat="false" ht="25.5" hidden="false" customHeight="true" outlineLevel="0" collapsed="false">
      <c r="B69" s="14" t="str">
        <f aca="false">INDEX(İlanlar!$B$5:$B$47,MATCH(C69,İlanlar!$Y$5:$Y$47,0))</f>
        <v>KPMG Österreich</v>
      </c>
      <c r="C69" s="15" t="n">
        <v>22</v>
      </c>
      <c r="D69" s="14" t="str">
        <f aca="false">INDEX(İlanlar!$C$5:$C$47,MATCH(C69,İlanlar!$Y$5:$Y$47,0))</f>
        <v>Junior/Senior Spezialist:in Cybersecurity Beratung</v>
      </c>
      <c r="E69" s="14" t="str">
        <f aca="false">INDEX(İlanlar!$D$5:$D$47,MATCH(C69,İlanlar!$Y$5:$Y$47,0))</f>
        <v>Salzburg Stadt</v>
      </c>
      <c r="F69" s="14" t="str">
        <f aca="false">INDEX(İlanlar!$G$5:$G$47,MATCH(C69,İlanlar!$Y$5:$Y$47,0))</f>
        <v>DE</v>
      </c>
      <c r="G69" s="16" t="n">
        <f aca="false">INDEX(İlanlar!$X$5:$X$47,MATCH(C69,İlanlar!$Y$5:$Y$47,0))</f>
        <v>0.73</v>
      </c>
      <c r="H69" s="14" t="str">
        <f aca="false">INDEX(İlanlar!$Z$5:$Z$47,MATCH(C69,İlanlar!$Y$5:$Y$47,0))</f>
        <v>B – Başvur</v>
      </c>
      <c r="I69" s="14" t="str">
        <f aca="false">INDEX(İlanlar!$K$5:$K$47,MATCH(C69,İlanlar!$Y$5:$Y$47,0))</f>
        <v>AÇIK OLABİLİR – linki kontrol et</v>
      </c>
    </row>
    <row r="70" customFormat="false" ht="25.5" hidden="false" customHeight="true" outlineLevel="0" collapsed="false">
      <c r="B70" s="14" t="str">
        <f aca="false">INDEX(İlanlar!$B$5:$B$47,MATCH(C70,İlanlar!$Y$5:$Y$47,0))</f>
        <v>Lam Research Salzburg</v>
      </c>
      <c r="C70" s="15" t="n">
        <v>23</v>
      </c>
      <c r="D70" s="14" t="str">
        <f aca="false">INDEX(İlanlar!$C$5:$C$47,MATCH(C70,İlanlar!$Y$5:$Y$47,0))</f>
        <v>IT Support / Systems Administrator (all genders)</v>
      </c>
      <c r="E70" s="14" t="str">
        <f aca="false">INDEX(İlanlar!$D$5:$D$47,MATCH(C70,İlanlar!$Y$5:$Y$47,0))</f>
        <v>Salzburg / Eugendorf</v>
      </c>
      <c r="F70" s="14" t="str">
        <f aca="false">INDEX(İlanlar!$G$5:$G$47,MATCH(C70,İlanlar!$Y$5:$Y$47,0))</f>
        <v>EN+DE</v>
      </c>
      <c r="G70" s="16" t="n">
        <f aca="false">INDEX(İlanlar!$X$5:$X$47,MATCH(C70,İlanlar!$Y$5:$Y$47,0))</f>
        <v>0.72</v>
      </c>
      <c r="H70" s="14" t="str">
        <f aca="false">INDEX(İlanlar!$Z$5:$Z$47,MATCH(C70,İlanlar!$Y$5:$Y$47,0))</f>
        <v>B – Başvur</v>
      </c>
      <c r="I70" s="14" t="str">
        <f aca="false">INDEX(İlanlar!$K$5:$K$47,MATCH(C70,İlanlar!$Y$5:$Y$47,0))</f>
        <v>AÇIK OLABİLİR – linki kontrol et</v>
      </c>
    </row>
    <row r="71" customFormat="false" ht="25.5" hidden="false" customHeight="true" outlineLevel="0" collapsed="false">
      <c r="B71" s="14" t="str">
        <f aca="false">INDEX(İlanlar!$B$5:$B$47,MATCH(C71,İlanlar!$Y$5:$Y$47,0))</f>
        <v>BMW Austria GmbH</v>
      </c>
      <c r="C71" s="15" t="n">
        <v>24</v>
      </c>
      <c r="D71" s="14" t="str">
        <f aca="false">INDEX(İlanlar!$C$5:$C$47,MATCH(C71,İlanlar!$Y$5:$Y$47,0))</f>
        <v>Specialist Information Security &amp; OPRisk Management</v>
      </c>
      <c r="E71" s="14" t="str">
        <f aca="false">INDEX(İlanlar!$D$5:$D$47,MATCH(C71,İlanlar!$Y$5:$Y$47,0))</f>
        <v>Salzburg</v>
      </c>
      <c r="F71" s="14" t="str">
        <f aca="false">INDEX(İlanlar!$G$5:$G$47,MATCH(C71,İlanlar!$Y$5:$Y$47,0))</f>
        <v>EN+DE</v>
      </c>
      <c r="G71" s="16" t="n">
        <f aca="false">INDEX(İlanlar!$X$5:$X$47,MATCH(C71,İlanlar!$Y$5:$Y$47,0))</f>
        <v>0.72</v>
      </c>
      <c r="H71" s="14" t="str">
        <f aca="false">INDEX(İlanlar!$Z$5:$Z$47,MATCH(C71,İlanlar!$Y$5:$Y$47,0))</f>
        <v>B – Başvur</v>
      </c>
      <c r="I71" s="14" t="str">
        <f aca="false">INDEX(İlanlar!$K$5:$K$47,MATCH(C71,İlanlar!$Y$5:$Y$47,0))</f>
        <v>AÇIK OLABİLİR – linki kontrol et</v>
      </c>
    </row>
    <row r="72" customFormat="false" ht="25.5" hidden="false" customHeight="true" outlineLevel="0" collapsed="false">
      <c r="B72" s="14" t="str">
        <f aca="false">INDEX(İlanlar!$B$5:$B$47,MATCH(C72,İlanlar!$Y$5:$Y$47,0))</f>
        <v>PALFINGER AG</v>
      </c>
      <c r="C72" s="15" t="n">
        <v>25</v>
      </c>
      <c r="D72" s="14" t="str">
        <f aca="false">INDEX(İlanlar!$C$5:$C$47,MATCH(C72,İlanlar!$Y$5:$Y$47,0))</f>
        <v>Teamlead Application Management Operations</v>
      </c>
      <c r="E72" s="14" t="str">
        <f aca="false">INDEX(İlanlar!$D$5:$D$47,MATCH(C72,İlanlar!$Y$5:$Y$47,0))</f>
        <v>Bergheim</v>
      </c>
      <c r="F72" s="14" t="str">
        <f aca="false">INDEX(İlanlar!$G$5:$G$47,MATCH(C72,İlanlar!$Y$5:$Y$47,0))</f>
        <v>EN</v>
      </c>
      <c r="G72" s="16" t="n">
        <f aca="false">INDEX(İlanlar!$X$5:$X$47,MATCH(C72,İlanlar!$Y$5:$Y$47,0))</f>
        <v>0.72</v>
      </c>
      <c r="H72" s="14" t="str">
        <f aca="false">INDEX(İlanlar!$Z$5:$Z$47,MATCH(C72,İlanlar!$Y$5:$Y$47,0))</f>
        <v>B – Başvur</v>
      </c>
      <c r="I72" s="14" t="str">
        <f aca="false">INDEX(İlanlar!$K$5:$K$47,MATCH(C72,İlanlar!$Y$5:$Y$47,0))</f>
        <v>AÇIK OLABİLİR – linki kontrol et</v>
      </c>
    </row>
    <row r="74" customFormat="false" ht="15" hidden="false" customHeight="false" outlineLevel="0" collapsed="false">
      <c r="B74" s="3" t="s">
        <v>73</v>
      </c>
    </row>
    <row r="75" customFormat="false" ht="42" hidden="false" customHeight="true" outlineLevel="0" collapsed="false">
      <c r="B75" s="5" t="s">
        <v>74</v>
      </c>
      <c r="C75" s="5"/>
      <c r="D75" s="5"/>
      <c r="E75" s="5"/>
      <c r="F75" s="5"/>
      <c r="G75" s="5"/>
      <c r="H75" s="5"/>
      <c r="I75" s="5"/>
    </row>
    <row r="76" customFormat="false" ht="42" hidden="false" customHeight="true" outlineLevel="0" collapsed="false">
      <c r="B76" s="5" t="s">
        <v>75</v>
      </c>
      <c r="C76" s="5"/>
      <c r="D76" s="5"/>
      <c r="E76" s="5"/>
      <c r="F76" s="5"/>
      <c r="G76" s="5"/>
      <c r="H76" s="5"/>
      <c r="I76" s="5"/>
    </row>
    <row r="77" customFormat="false" ht="42" hidden="false" customHeight="true" outlineLevel="0" collapsed="false">
      <c r="B77" s="5" t="s">
        <v>76</v>
      </c>
      <c r="C77" s="5"/>
      <c r="D77" s="5"/>
      <c r="E77" s="5"/>
      <c r="F77" s="5"/>
      <c r="G77" s="5"/>
      <c r="H77" s="5"/>
      <c r="I77" s="5"/>
    </row>
    <row r="78" customFormat="false" ht="42" hidden="false" customHeight="true" outlineLevel="0" collapsed="false">
      <c r="B78" s="5" t="s">
        <v>77</v>
      </c>
      <c r="C78" s="5"/>
      <c r="D78" s="5"/>
      <c r="E78" s="5"/>
      <c r="F78" s="5"/>
      <c r="G78" s="5"/>
      <c r="H78" s="5"/>
      <c r="I78" s="5"/>
    </row>
    <row r="79" customFormat="false" ht="42" hidden="false" customHeight="true" outlineLevel="0" collapsed="false">
      <c r="B79" s="5" t="s">
        <v>78</v>
      </c>
      <c r="C79" s="5"/>
      <c r="D79" s="5"/>
      <c r="E79" s="5"/>
      <c r="F79" s="5"/>
      <c r="G79" s="5"/>
      <c r="H79" s="5"/>
      <c r="I79" s="5"/>
    </row>
    <row r="80" customFormat="false" ht="42" hidden="false" customHeight="true" outlineLevel="0" collapsed="false">
      <c r="B80" s="5" t="s">
        <v>79</v>
      </c>
      <c r="C80" s="5"/>
      <c r="D80" s="5"/>
      <c r="E80" s="5"/>
      <c r="F80" s="5"/>
      <c r="G80" s="5"/>
      <c r="H80" s="5"/>
      <c r="I80" s="5"/>
    </row>
    <row r="81" customFormat="false" ht="42" hidden="false" customHeight="true" outlineLevel="0" collapsed="false">
      <c r="B81" s="5" t="s">
        <v>80</v>
      </c>
      <c r="C81" s="5"/>
      <c r="D81" s="5"/>
      <c r="E81" s="5"/>
      <c r="F81" s="5"/>
      <c r="G81" s="5"/>
      <c r="H81" s="5"/>
      <c r="I81" s="5"/>
    </row>
  </sheetData>
  <mergeCells count="25">
    <mergeCell ref="C5:I5"/>
    <mergeCell ref="C6:I6"/>
    <mergeCell ref="C7:I7"/>
    <mergeCell ref="C8:I8"/>
    <mergeCell ref="C9:I9"/>
    <mergeCell ref="C10:I10"/>
    <mergeCell ref="D14:I14"/>
    <mergeCell ref="D15:I15"/>
    <mergeCell ref="D16:I16"/>
    <mergeCell ref="D17:I17"/>
    <mergeCell ref="D18:I18"/>
    <mergeCell ref="D19:I19"/>
    <mergeCell ref="D24:I24"/>
    <mergeCell ref="D25:I25"/>
    <mergeCell ref="D26:I26"/>
    <mergeCell ref="D27:I27"/>
    <mergeCell ref="D28:I28"/>
    <mergeCell ref="D29:I29"/>
    <mergeCell ref="B75:I75"/>
    <mergeCell ref="B76:I76"/>
    <mergeCell ref="B77:I77"/>
    <mergeCell ref="B78:I78"/>
    <mergeCell ref="B79:I79"/>
    <mergeCell ref="B80:I80"/>
    <mergeCell ref="B81:I81"/>
  </mergeCells>
  <conditionalFormatting sqref="G48:G72">
    <cfRule type="colorScale" priority="2">
      <colorScale>
        <cfvo type="num" val="0.5"/>
        <cfvo type="num" val="0.7"/>
        <cfvo type="num" val="0.9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38"/>
    <col collapsed="false" customWidth="true" hidden="false" outlineLevel="0" max="4" min="4" style="0" width="20"/>
    <col collapsed="false" customWidth="true" hidden="false" outlineLevel="0" max="5" min="5" style="0" width="13"/>
    <col collapsed="false" customWidth="true" hidden="false" outlineLevel="0" max="6" min="6" style="0" width="18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0" min="10" style="0" width="20"/>
    <col collapsed="false" customWidth="true" hidden="false" outlineLevel="0" max="11" min="11" style="0" width="13"/>
    <col collapsed="false" customWidth="true" hidden="false" outlineLevel="0" max="12" min="12" style="0" width="16"/>
    <col collapsed="false" customWidth="true" hidden="false" outlineLevel="0" max="13" min="13" style="0" width="18"/>
    <col collapsed="false" customWidth="true" hidden="false" outlineLevel="0" max="14" min="14" style="0" width="30"/>
    <col collapsed="false" customWidth="true" hidden="false" outlineLevel="0" max="15" min="15" style="0" width="45"/>
    <col collapsed="false" customWidth="true" hidden="false" outlineLevel="0" max="16" min="16" style="0" width="40"/>
    <col collapsed="false" customWidth="true" hidden="false" outlineLevel="0" max="17" min="17" style="0" width="36"/>
    <col collapsed="false" customWidth="true" hidden="false" outlineLevel="0" max="22" min="18" style="0" width="8"/>
    <col collapsed="false" customWidth="true" hidden="false" outlineLevel="0" max="24" min="23" style="0" width="9"/>
    <col collapsed="false" customWidth="true" hidden="false" outlineLevel="0" max="25" min="25" style="0" width="6"/>
    <col collapsed="false" customWidth="true" hidden="false" outlineLevel="0" max="26" min="26" style="0" width="17"/>
    <col collapsed="false" customWidth="true" hidden="false" outlineLevel="0" max="27" min="27" style="0" width="36"/>
    <col collapsed="false" customWidth="true" hidden="false" outlineLevel="0" max="28" min="28" style="0" width="14"/>
    <col collapsed="false" customWidth="true" hidden="false" outlineLevel="0" max="29" min="29" style="0" width="45"/>
    <col collapsed="false" customWidth="true" hidden="false" outlineLevel="0" max="30" min="30" style="0" width="40"/>
    <col collapsed="false" customWidth="true" hidden="false" outlineLevel="0" max="31" min="31" style="0" width="45"/>
  </cols>
  <sheetData>
    <row r="1" customFormat="false" ht="17.35" hidden="false" customHeight="false" outlineLevel="0" collapsed="false">
      <c r="A1" s="17" t="s">
        <v>81</v>
      </c>
    </row>
    <row r="2" customFormat="false" ht="15" hidden="false" customHeight="false" outlineLevel="0" collapsed="false">
      <c r="A2" s="2" t="s">
        <v>82</v>
      </c>
    </row>
    <row r="3" customFormat="false" ht="15" hidden="false" customHeight="false" outlineLevel="0" collapsed="false">
      <c r="R3" s="18" t="s">
        <v>83</v>
      </c>
      <c r="S3" s="18"/>
      <c r="T3" s="18"/>
      <c r="U3" s="18"/>
      <c r="V3" s="18"/>
      <c r="W3" s="18"/>
    </row>
    <row r="4" customFormat="false" ht="30" hidden="false" customHeight="true" outlineLevel="0" collapsed="false">
      <c r="A4" s="19" t="s">
        <v>84</v>
      </c>
      <c r="B4" s="19" t="s">
        <v>65</v>
      </c>
      <c r="C4" s="19" t="s">
        <v>67</v>
      </c>
      <c r="D4" s="19" t="s">
        <v>68</v>
      </c>
      <c r="E4" s="19" t="s">
        <v>85</v>
      </c>
      <c r="F4" s="19" t="s">
        <v>86</v>
      </c>
      <c r="G4" s="19" t="s">
        <v>87</v>
      </c>
      <c r="H4" s="19" t="s">
        <v>88</v>
      </c>
      <c r="I4" s="19" t="s">
        <v>89</v>
      </c>
      <c r="J4" s="19" t="s">
        <v>90</v>
      </c>
      <c r="K4" s="19" t="s">
        <v>72</v>
      </c>
      <c r="L4" s="19" t="s">
        <v>91</v>
      </c>
      <c r="M4" s="19" t="s">
        <v>92</v>
      </c>
      <c r="N4" s="19" t="s">
        <v>93</v>
      </c>
      <c r="O4" s="19" t="s">
        <v>94</v>
      </c>
      <c r="P4" s="19" t="s">
        <v>95</v>
      </c>
      <c r="Q4" s="19" t="s">
        <v>96</v>
      </c>
      <c r="R4" s="19" t="s">
        <v>97</v>
      </c>
      <c r="S4" s="19" t="s">
        <v>98</v>
      </c>
      <c r="T4" s="19" t="s">
        <v>99</v>
      </c>
      <c r="U4" s="19" t="s">
        <v>100</v>
      </c>
      <c r="V4" s="19" t="s">
        <v>101</v>
      </c>
      <c r="W4" s="19" t="s">
        <v>102</v>
      </c>
      <c r="X4" s="19" t="s">
        <v>70</v>
      </c>
      <c r="Y4" s="19" t="s">
        <v>66</v>
      </c>
      <c r="Z4" s="19" t="s">
        <v>71</v>
      </c>
      <c r="AA4" s="19" t="s">
        <v>103</v>
      </c>
      <c r="AB4" s="19" t="s">
        <v>104</v>
      </c>
      <c r="AC4" s="19" t="s">
        <v>105</v>
      </c>
      <c r="AD4" s="19" t="s">
        <v>106</v>
      </c>
      <c r="AE4" s="19" t="s">
        <v>107</v>
      </c>
    </row>
    <row r="5" customFormat="false" ht="63.75" hidden="false" customHeight="true" outlineLevel="0" collapsed="false">
      <c r="A5" s="20" t="n">
        <v>1</v>
      </c>
      <c r="B5" s="20" t="s">
        <v>108</v>
      </c>
      <c r="C5" s="20" t="s">
        <v>109</v>
      </c>
      <c r="D5" s="20" t="s">
        <v>110</v>
      </c>
      <c r="E5" s="20" t="s">
        <v>111</v>
      </c>
      <c r="F5" s="20" t="s">
        <v>112</v>
      </c>
      <c r="G5" s="20" t="s">
        <v>37</v>
      </c>
      <c r="H5" s="20" t="s">
        <v>113</v>
      </c>
      <c r="I5" s="20" t="s">
        <v>114</v>
      </c>
      <c r="J5" s="20" t="s">
        <v>115</v>
      </c>
      <c r="K5" s="20" t="s">
        <v>116</v>
      </c>
      <c r="L5" s="20" t="s">
        <v>117</v>
      </c>
      <c r="M5" s="20" t="s">
        <v>118</v>
      </c>
      <c r="N5" s="21" t="s">
        <v>119</v>
      </c>
      <c r="O5" s="20" t="s">
        <v>120</v>
      </c>
      <c r="P5" s="20" t="s">
        <v>121</v>
      </c>
      <c r="Q5" s="20" t="s">
        <v>122</v>
      </c>
      <c r="R5" s="22" t="n">
        <v>5</v>
      </c>
      <c r="S5" s="22" t="n">
        <v>5</v>
      </c>
      <c r="T5" s="22" t="n">
        <v>5</v>
      </c>
      <c r="U5" s="22" t="n">
        <v>4</v>
      </c>
      <c r="V5" s="22" t="n">
        <v>5</v>
      </c>
      <c r="W5" s="22" t="n">
        <v>4</v>
      </c>
      <c r="X5" s="23" t="n">
        <f aca="false">ROUND((R5*Özet!$C$14+S5*Özet!$C$15+T5*Özet!$C$16+U5*Özet!$C$17+V5*Özet!$C$18+W5*Özet!$C$19)/5,4)</f>
        <v>0.97</v>
      </c>
      <c r="Y5" s="24" t="n">
        <f aca="false">RANK(AB5,$AB$5:$AB$47)+COUNTIF($AB$5:AB5,AB5)-1</f>
        <v>1</v>
      </c>
      <c r="Z5" s="25" t="str">
        <f aca="false">IF(K5="ESKİ / TAKİP","Takip – benzer ilanı bekle",IF(X5&gt;=0.8,"A – Hemen başvur",IF(X5&gt;=0.65,"B – Başvur","C – Opsiyonel")))</f>
        <v>A – Hemen başvur</v>
      </c>
      <c r="AA5" s="20" t="s">
        <v>123</v>
      </c>
      <c r="AB5" s="26" t="n">
        <f aca="false">IF(K5="ESKİ / TAKİP",X5-1,X5)</f>
        <v>0.97</v>
      </c>
      <c r="AC5" s="20" t="s">
        <v>124</v>
      </c>
      <c r="AD5" s="21" t="s">
        <v>125</v>
      </c>
      <c r="AE5" s="27" t="s">
        <v>125</v>
      </c>
    </row>
    <row r="6" customFormat="false" ht="63.75" hidden="false" customHeight="true" outlineLevel="0" collapsed="false">
      <c r="A6" s="20" t="n">
        <v>2</v>
      </c>
      <c r="B6" s="20" t="s">
        <v>126</v>
      </c>
      <c r="C6" s="20" t="s">
        <v>127</v>
      </c>
      <c r="D6" s="20" t="s">
        <v>128</v>
      </c>
      <c r="E6" s="20" t="s">
        <v>129</v>
      </c>
      <c r="F6" s="20" t="s">
        <v>130</v>
      </c>
      <c r="G6" s="20" t="s">
        <v>43</v>
      </c>
      <c r="H6" s="20" t="s">
        <v>113</v>
      </c>
      <c r="I6" s="20" t="s">
        <v>114</v>
      </c>
      <c r="J6" s="20" t="s">
        <v>115</v>
      </c>
      <c r="K6" s="20" t="s">
        <v>116</v>
      </c>
      <c r="L6" s="20" t="s">
        <v>131</v>
      </c>
      <c r="M6" s="20" t="s">
        <v>118</v>
      </c>
      <c r="N6" s="21" t="s">
        <v>132</v>
      </c>
      <c r="O6" s="20" t="s">
        <v>133</v>
      </c>
      <c r="P6" s="20" t="s">
        <v>134</v>
      </c>
      <c r="Q6" s="20" t="s">
        <v>135</v>
      </c>
      <c r="R6" s="22" t="n">
        <v>5</v>
      </c>
      <c r="S6" s="22" t="n">
        <v>5</v>
      </c>
      <c r="T6" s="22" t="n">
        <v>2</v>
      </c>
      <c r="U6" s="22" t="n">
        <v>4</v>
      </c>
      <c r="V6" s="22" t="n">
        <v>5</v>
      </c>
      <c r="W6" s="22" t="n">
        <v>4</v>
      </c>
      <c r="X6" s="23" t="n">
        <f aca="false">ROUND((R6*Özet!$C$14+S6*Özet!$C$15+T6*Özet!$C$16+U6*Özet!$C$17+V6*Özet!$C$18+W6*Özet!$C$19)/5,4)</f>
        <v>0.85</v>
      </c>
      <c r="Y6" s="24" t="n">
        <f aca="false">RANK(AB6,$AB$5:$AB$47)+COUNTIF($AB$5:AB6,AB6)-1</f>
        <v>2</v>
      </c>
      <c r="Z6" s="25" t="str">
        <f aca="false">IF(K6="ESKİ / TAKİP","Takip – benzer ilanı bekle",IF(X6&gt;=0.8,"A – Hemen başvur",IF(X6&gt;=0.65,"B – Başvur","C – Opsiyonel")))</f>
        <v>A – Hemen başvur</v>
      </c>
      <c r="AA6" s="20" t="s">
        <v>136</v>
      </c>
      <c r="AB6" s="26" t="n">
        <f aca="false">IF(K6="ESKİ / TAKİP",X6-1,X6)</f>
        <v>0.85</v>
      </c>
      <c r="AC6" s="20" t="s">
        <v>137</v>
      </c>
      <c r="AD6" s="28"/>
      <c r="AE6" s="27" t="s">
        <v>138</v>
      </c>
    </row>
    <row r="7" customFormat="false" ht="63.75" hidden="false" customHeight="true" outlineLevel="0" collapsed="false">
      <c r="A7" s="20" t="n">
        <v>3</v>
      </c>
      <c r="B7" s="20" t="s">
        <v>139</v>
      </c>
      <c r="C7" s="20" t="s">
        <v>140</v>
      </c>
      <c r="D7" s="20" t="s">
        <v>141</v>
      </c>
      <c r="E7" s="20" t="s">
        <v>142</v>
      </c>
      <c r="F7" s="20" t="s">
        <v>143</v>
      </c>
      <c r="G7" s="20" t="s">
        <v>37</v>
      </c>
      <c r="H7" s="20" t="s">
        <v>113</v>
      </c>
      <c r="I7" s="20" t="s">
        <v>114</v>
      </c>
      <c r="J7" s="20" t="s">
        <v>115</v>
      </c>
      <c r="K7" s="20" t="s">
        <v>116</v>
      </c>
      <c r="L7" s="20" t="s">
        <v>117</v>
      </c>
      <c r="M7" s="20" t="s">
        <v>118</v>
      </c>
      <c r="N7" s="21" t="s">
        <v>144</v>
      </c>
      <c r="O7" s="20" t="s">
        <v>145</v>
      </c>
      <c r="P7" s="20" t="s">
        <v>146</v>
      </c>
      <c r="Q7" s="20" t="s">
        <v>147</v>
      </c>
      <c r="R7" s="22" t="n">
        <v>4</v>
      </c>
      <c r="S7" s="22" t="n">
        <v>4</v>
      </c>
      <c r="T7" s="22" t="n">
        <v>5</v>
      </c>
      <c r="U7" s="22" t="n">
        <v>3</v>
      </c>
      <c r="V7" s="22" t="n">
        <v>5</v>
      </c>
      <c r="W7" s="22" t="n">
        <v>4</v>
      </c>
      <c r="X7" s="23" t="n">
        <f aca="false">ROUND((R7*Özet!$C$14+S7*Özet!$C$15+T7*Özet!$C$16+U7*Özet!$C$17+V7*Özet!$C$18+W7*Özet!$C$19)/5,4)</f>
        <v>0.85</v>
      </c>
      <c r="Y7" s="24" t="n">
        <f aca="false">RANK(AB7,$AB$5:$AB$47)+COUNTIF($AB$5:AB7,AB7)-1</f>
        <v>3</v>
      </c>
      <c r="Z7" s="25" t="str">
        <f aca="false">IF(K7="ESKİ / TAKİP","Takip – benzer ilanı bekle",IF(X7&gt;=0.8,"A – Hemen başvur",IF(X7&gt;=0.65,"B – Başvur","C – Opsiyonel")))</f>
        <v>A – Hemen başvur</v>
      </c>
      <c r="AA7" s="20" t="s">
        <v>148</v>
      </c>
      <c r="AB7" s="26" t="n">
        <f aca="false">IF(K7="ESKİ / TAKİP",X7-1,X7)</f>
        <v>0.85</v>
      </c>
      <c r="AC7" s="20" t="s">
        <v>149</v>
      </c>
      <c r="AD7" s="28"/>
      <c r="AE7" s="27" t="s">
        <v>150</v>
      </c>
    </row>
    <row r="8" customFormat="false" ht="63.75" hidden="false" customHeight="true" outlineLevel="0" collapsed="false">
      <c r="A8" s="20" t="n">
        <v>4</v>
      </c>
      <c r="B8" s="20" t="s">
        <v>108</v>
      </c>
      <c r="C8" s="20" t="s">
        <v>151</v>
      </c>
      <c r="D8" s="20" t="s">
        <v>152</v>
      </c>
      <c r="E8" s="20" t="s">
        <v>111</v>
      </c>
      <c r="F8" s="20" t="s">
        <v>153</v>
      </c>
      <c r="G8" s="20" t="s">
        <v>41</v>
      </c>
      <c r="H8" s="20" t="s">
        <v>113</v>
      </c>
      <c r="I8" s="20" t="s">
        <v>114</v>
      </c>
      <c r="J8" s="20" t="s">
        <v>115</v>
      </c>
      <c r="K8" s="20" t="s">
        <v>116</v>
      </c>
      <c r="L8" s="20" t="s">
        <v>117</v>
      </c>
      <c r="M8" s="20" t="s">
        <v>118</v>
      </c>
      <c r="N8" s="21" t="s">
        <v>154</v>
      </c>
      <c r="O8" s="20" t="s">
        <v>155</v>
      </c>
      <c r="P8" s="20" t="s">
        <v>156</v>
      </c>
      <c r="Q8" s="20" t="s">
        <v>157</v>
      </c>
      <c r="R8" s="22" t="n">
        <v>4</v>
      </c>
      <c r="S8" s="22" t="n">
        <v>4</v>
      </c>
      <c r="T8" s="22" t="n">
        <v>4</v>
      </c>
      <c r="U8" s="22" t="n">
        <v>4</v>
      </c>
      <c r="V8" s="22" t="n">
        <v>5</v>
      </c>
      <c r="W8" s="22" t="n">
        <v>4</v>
      </c>
      <c r="X8" s="23" t="n">
        <f aca="false">ROUND((R8*Özet!$C$14+S8*Özet!$C$15+T8*Özet!$C$16+U8*Özet!$C$17+V8*Özet!$C$18+W8*Özet!$C$19)/5,4)</f>
        <v>0.82</v>
      </c>
      <c r="Y8" s="24" t="n">
        <f aca="false">RANK(AB8,$AB$5:$AB$47)+COUNTIF($AB$5:AB8,AB8)-1</f>
        <v>4</v>
      </c>
      <c r="Z8" s="25" t="str">
        <f aca="false">IF(K8="ESKİ / TAKİP","Takip – benzer ilanı bekle",IF(X8&gt;=0.8,"A – Hemen başvur",IF(X8&gt;=0.65,"B – Başvur","C – Opsiyonel")))</f>
        <v>A – Hemen başvur</v>
      </c>
      <c r="AA8" s="20" t="s">
        <v>158</v>
      </c>
      <c r="AB8" s="26" t="n">
        <f aca="false">IF(K8="ESKİ / TAKİP",X8-1,X8)</f>
        <v>0.82</v>
      </c>
      <c r="AC8" s="20" t="s">
        <v>159</v>
      </c>
      <c r="AD8" s="21" t="s">
        <v>125</v>
      </c>
      <c r="AE8" s="27" t="s">
        <v>125</v>
      </c>
    </row>
    <row r="9" customFormat="false" ht="63.75" hidden="false" customHeight="true" outlineLevel="0" collapsed="false">
      <c r="A9" s="20" t="n">
        <v>5</v>
      </c>
      <c r="B9" s="20" t="s">
        <v>160</v>
      </c>
      <c r="C9" s="20" t="s">
        <v>161</v>
      </c>
      <c r="D9" s="20" t="s">
        <v>162</v>
      </c>
      <c r="E9" s="20" t="s">
        <v>111</v>
      </c>
      <c r="F9" s="20" t="s">
        <v>163</v>
      </c>
      <c r="G9" s="20" t="s">
        <v>37</v>
      </c>
      <c r="H9" s="20" t="s">
        <v>113</v>
      </c>
      <c r="I9" s="20" t="s">
        <v>114</v>
      </c>
      <c r="J9" s="20" t="s">
        <v>115</v>
      </c>
      <c r="K9" s="20" t="s">
        <v>116</v>
      </c>
      <c r="L9" s="20" t="s">
        <v>164</v>
      </c>
      <c r="M9" s="20" t="s">
        <v>118</v>
      </c>
      <c r="N9" s="21" t="s">
        <v>165</v>
      </c>
      <c r="O9" s="20" t="s">
        <v>166</v>
      </c>
      <c r="P9" s="20" t="s">
        <v>167</v>
      </c>
      <c r="Q9" s="20" t="s">
        <v>168</v>
      </c>
      <c r="R9" s="22" t="n">
        <v>3</v>
      </c>
      <c r="S9" s="22" t="n">
        <v>4</v>
      </c>
      <c r="T9" s="22" t="n">
        <v>5</v>
      </c>
      <c r="U9" s="22" t="n">
        <v>4</v>
      </c>
      <c r="V9" s="22" t="n">
        <v>5</v>
      </c>
      <c r="W9" s="22" t="n">
        <v>5</v>
      </c>
      <c r="X9" s="23" t="n">
        <f aca="false">ROUND((R9*Özet!$C$14+S9*Özet!$C$15+T9*Özet!$C$16+U9*Özet!$C$17+V9*Özet!$C$18+W9*Özet!$C$19)/5,4)</f>
        <v>0.81</v>
      </c>
      <c r="Y9" s="24" t="n">
        <f aca="false">RANK(AB9,$AB$5:$AB$47)+COUNTIF($AB$5:AB9,AB9)-1</f>
        <v>5</v>
      </c>
      <c r="Z9" s="25" t="str">
        <f aca="false">IF(K9="ESKİ / TAKİP","Takip – benzer ilanı bekle",IF(X9&gt;=0.8,"A – Hemen başvur",IF(X9&gt;=0.65,"B – Başvur","C – Opsiyonel")))</f>
        <v>A – Hemen başvur</v>
      </c>
      <c r="AA9" s="20" t="s">
        <v>169</v>
      </c>
      <c r="AB9" s="26" t="n">
        <f aca="false">IF(K9="ESKİ / TAKİP",X9-1,X9)</f>
        <v>0.81</v>
      </c>
      <c r="AC9" s="20" t="s">
        <v>170</v>
      </c>
      <c r="AD9" s="28"/>
      <c r="AE9" s="27" t="s">
        <v>171</v>
      </c>
    </row>
    <row r="10" customFormat="false" ht="63.75" hidden="false" customHeight="true" outlineLevel="0" collapsed="false">
      <c r="A10" s="20" t="n">
        <v>6</v>
      </c>
      <c r="B10" s="20" t="s">
        <v>126</v>
      </c>
      <c r="C10" s="20" t="s">
        <v>172</v>
      </c>
      <c r="D10" s="20" t="s">
        <v>128</v>
      </c>
      <c r="E10" s="20" t="s">
        <v>129</v>
      </c>
      <c r="F10" s="20" t="s">
        <v>173</v>
      </c>
      <c r="G10" s="20" t="s">
        <v>43</v>
      </c>
      <c r="H10" s="20" t="s">
        <v>113</v>
      </c>
      <c r="I10" s="20" t="s">
        <v>114</v>
      </c>
      <c r="J10" s="20" t="s">
        <v>115</v>
      </c>
      <c r="K10" s="20" t="s">
        <v>116</v>
      </c>
      <c r="L10" s="20" t="s">
        <v>117</v>
      </c>
      <c r="M10" s="20" t="s">
        <v>118</v>
      </c>
      <c r="N10" s="21" t="s">
        <v>174</v>
      </c>
      <c r="O10" s="20" t="s">
        <v>175</v>
      </c>
      <c r="P10" s="20" t="s">
        <v>176</v>
      </c>
      <c r="Q10" s="20" t="s">
        <v>177</v>
      </c>
      <c r="R10" s="22" t="n">
        <v>5</v>
      </c>
      <c r="S10" s="22" t="n">
        <v>4</v>
      </c>
      <c r="T10" s="22" t="n">
        <v>2</v>
      </c>
      <c r="U10" s="22" t="n">
        <v>4</v>
      </c>
      <c r="V10" s="22" t="n">
        <v>5</v>
      </c>
      <c r="W10" s="22" t="n">
        <v>4</v>
      </c>
      <c r="X10" s="23" t="n">
        <f aca="false">ROUND((R10*Özet!$C$14+S10*Özet!$C$15+T10*Özet!$C$16+U10*Özet!$C$17+V10*Özet!$C$18+W10*Özet!$C$19)/5,4)</f>
        <v>0.81</v>
      </c>
      <c r="Y10" s="24" t="n">
        <f aca="false">RANK(AB10,$AB$5:$AB$47)+COUNTIF($AB$5:AB10,AB10)-1</f>
        <v>6</v>
      </c>
      <c r="Z10" s="25" t="str">
        <f aca="false">IF(K10="ESKİ / TAKİP","Takip – benzer ilanı bekle",IF(X10&gt;=0.8,"A – Hemen başvur",IF(X10&gt;=0.65,"B – Başvur","C – Opsiyonel")))</f>
        <v>A – Hemen başvur</v>
      </c>
      <c r="AA10" s="20" t="s">
        <v>178</v>
      </c>
      <c r="AB10" s="26" t="n">
        <f aca="false">IF(K10="ESKİ / TAKİP",X10-1,X10)</f>
        <v>0.81</v>
      </c>
      <c r="AC10" s="20" t="s">
        <v>179</v>
      </c>
      <c r="AD10" s="28"/>
      <c r="AE10" s="27" t="s">
        <v>138</v>
      </c>
    </row>
    <row r="11" customFormat="false" ht="63.75" hidden="false" customHeight="true" outlineLevel="0" collapsed="false">
      <c r="A11" s="20" t="n">
        <v>7</v>
      </c>
      <c r="B11" s="20" t="s">
        <v>139</v>
      </c>
      <c r="C11" s="20" t="s">
        <v>180</v>
      </c>
      <c r="D11" s="20" t="s">
        <v>141</v>
      </c>
      <c r="E11" s="20" t="s">
        <v>142</v>
      </c>
      <c r="F11" s="20" t="s">
        <v>143</v>
      </c>
      <c r="G11" s="20" t="s">
        <v>37</v>
      </c>
      <c r="H11" s="20" t="s">
        <v>113</v>
      </c>
      <c r="I11" s="20" t="s">
        <v>181</v>
      </c>
      <c r="J11" s="20" t="s">
        <v>115</v>
      </c>
      <c r="K11" s="20" t="s">
        <v>116</v>
      </c>
      <c r="L11" s="20" t="s">
        <v>182</v>
      </c>
      <c r="M11" s="20" t="s">
        <v>118</v>
      </c>
      <c r="N11" s="21" t="s">
        <v>183</v>
      </c>
      <c r="O11" s="20" t="s">
        <v>184</v>
      </c>
      <c r="P11" s="20" t="s">
        <v>185</v>
      </c>
      <c r="Q11" s="20" t="s">
        <v>186</v>
      </c>
      <c r="R11" s="22" t="n">
        <v>4</v>
      </c>
      <c r="S11" s="22" t="n">
        <v>3</v>
      </c>
      <c r="T11" s="22" t="n">
        <v>5</v>
      </c>
      <c r="U11" s="22" t="n">
        <v>3</v>
      </c>
      <c r="V11" s="22" t="n">
        <v>5</v>
      </c>
      <c r="W11" s="22" t="n">
        <v>4</v>
      </c>
      <c r="X11" s="23" t="n">
        <f aca="false">ROUND((R11*Özet!$C$14+S11*Özet!$C$15+T11*Özet!$C$16+U11*Özet!$C$17+V11*Özet!$C$18+W11*Özet!$C$19)/5,4)</f>
        <v>0.81</v>
      </c>
      <c r="Y11" s="24" t="n">
        <f aca="false">RANK(AB11,$AB$5:$AB$47)+COUNTIF($AB$5:AB11,AB11)-1</f>
        <v>7</v>
      </c>
      <c r="Z11" s="25" t="str">
        <f aca="false">IF(K11="ESKİ / TAKİP","Takip – benzer ilanı bekle",IF(X11&gt;=0.8,"A – Hemen başvur",IF(X11&gt;=0.65,"B – Başvur","C – Opsiyonel")))</f>
        <v>A – Hemen başvur</v>
      </c>
      <c r="AA11" s="20" t="s">
        <v>187</v>
      </c>
      <c r="AB11" s="26" t="n">
        <f aca="false">IF(K11="ESKİ / TAKİP",X11-1,X11)</f>
        <v>0.81</v>
      </c>
      <c r="AC11" s="20" t="s">
        <v>188</v>
      </c>
      <c r="AD11" s="28"/>
      <c r="AE11" s="27" t="s">
        <v>150</v>
      </c>
    </row>
    <row r="12" customFormat="false" ht="63.75" hidden="false" customHeight="true" outlineLevel="0" collapsed="false">
      <c r="A12" s="20" t="n">
        <v>8</v>
      </c>
      <c r="B12" s="20" t="s">
        <v>189</v>
      </c>
      <c r="C12" s="20" t="s">
        <v>190</v>
      </c>
      <c r="D12" s="20" t="s">
        <v>191</v>
      </c>
      <c r="E12" s="20" t="s">
        <v>129</v>
      </c>
      <c r="F12" s="20" t="s">
        <v>192</v>
      </c>
      <c r="G12" s="20" t="s">
        <v>43</v>
      </c>
      <c r="H12" s="20" t="s">
        <v>113</v>
      </c>
      <c r="I12" s="20" t="s">
        <v>114</v>
      </c>
      <c r="J12" s="20" t="s">
        <v>193</v>
      </c>
      <c r="K12" s="20" t="s">
        <v>116</v>
      </c>
      <c r="L12" s="20" t="s">
        <v>117</v>
      </c>
      <c r="M12" s="20" t="s">
        <v>194</v>
      </c>
      <c r="N12" s="21" t="s">
        <v>195</v>
      </c>
      <c r="O12" s="20" t="s">
        <v>196</v>
      </c>
      <c r="P12" s="20" t="s">
        <v>197</v>
      </c>
      <c r="Q12" s="20" t="s">
        <v>198</v>
      </c>
      <c r="R12" s="22" t="n">
        <v>5</v>
      </c>
      <c r="S12" s="22" t="n">
        <v>4</v>
      </c>
      <c r="T12" s="22" t="n">
        <v>2</v>
      </c>
      <c r="U12" s="22" t="n">
        <v>3</v>
      </c>
      <c r="V12" s="22" t="n">
        <v>5</v>
      </c>
      <c r="W12" s="22" t="n">
        <v>4</v>
      </c>
      <c r="X12" s="23" t="n">
        <f aca="false">ROUND((R12*Özet!$C$14+S12*Özet!$C$15+T12*Özet!$C$16+U12*Özet!$C$17+V12*Özet!$C$18+W12*Özet!$C$19)/5,4)</f>
        <v>0.8</v>
      </c>
      <c r="Y12" s="24" t="n">
        <f aca="false">RANK(AB12,$AB$5:$AB$47)+COUNTIF($AB$5:AB12,AB12)-1</f>
        <v>8</v>
      </c>
      <c r="Z12" s="25" t="str">
        <f aca="false">IF(K12="ESKİ / TAKİP","Takip – benzer ilanı bekle",IF(X12&gt;=0.8,"A – Hemen başvur",IF(X12&gt;=0.65,"B – Başvur","C – Opsiyonel")))</f>
        <v>A – Hemen başvur</v>
      </c>
      <c r="AA12" s="20" t="s">
        <v>199</v>
      </c>
      <c r="AB12" s="26" t="n">
        <f aca="false">IF(K12="ESKİ / TAKİP",X12-1,X12)</f>
        <v>0.8</v>
      </c>
      <c r="AC12" s="20" t="s">
        <v>200</v>
      </c>
      <c r="AD12" s="21" t="s">
        <v>201</v>
      </c>
      <c r="AE12" s="27" t="s">
        <v>201</v>
      </c>
    </row>
    <row r="13" customFormat="false" ht="63.75" hidden="false" customHeight="true" outlineLevel="0" collapsed="false">
      <c r="A13" s="20" t="n">
        <v>9</v>
      </c>
      <c r="B13" s="20" t="s">
        <v>202</v>
      </c>
      <c r="C13" s="20" t="s">
        <v>203</v>
      </c>
      <c r="D13" s="20" t="s">
        <v>204</v>
      </c>
      <c r="E13" s="20" t="s">
        <v>205</v>
      </c>
      <c r="F13" s="20" t="s">
        <v>206</v>
      </c>
      <c r="G13" s="20" t="s">
        <v>43</v>
      </c>
      <c r="H13" s="20" t="s">
        <v>113</v>
      </c>
      <c r="I13" s="20" t="s">
        <v>114</v>
      </c>
      <c r="J13" s="20" t="s">
        <v>115</v>
      </c>
      <c r="K13" s="20" t="s">
        <v>207</v>
      </c>
      <c r="L13" s="20" t="s">
        <v>208</v>
      </c>
      <c r="M13" s="20" t="s">
        <v>209</v>
      </c>
      <c r="N13" s="21" t="s">
        <v>210</v>
      </c>
      <c r="O13" s="20" t="s">
        <v>211</v>
      </c>
      <c r="P13" s="20" t="s">
        <v>212</v>
      </c>
      <c r="Q13" s="20" t="s">
        <v>213</v>
      </c>
      <c r="R13" s="22" t="n">
        <v>5</v>
      </c>
      <c r="S13" s="22" t="n">
        <v>5</v>
      </c>
      <c r="T13" s="22" t="n">
        <v>2</v>
      </c>
      <c r="U13" s="22" t="n">
        <v>4</v>
      </c>
      <c r="V13" s="22" t="n">
        <v>2</v>
      </c>
      <c r="W13" s="22" t="n">
        <v>4</v>
      </c>
      <c r="X13" s="23" t="n">
        <f aca="false">ROUND((R13*Özet!$C$14+S13*Özet!$C$15+T13*Özet!$C$16+U13*Özet!$C$17+V13*Özet!$C$18+W13*Özet!$C$19)/5,4)</f>
        <v>0.79</v>
      </c>
      <c r="Y13" s="24" t="n">
        <f aca="false">RANK(AB13,$AB$5:$AB$47)+COUNTIF($AB$5:AB13,AB13)-1</f>
        <v>9</v>
      </c>
      <c r="Z13" s="25" t="str">
        <f aca="false">IF(K13="ESKİ / TAKİP","Takip – benzer ilanı bekle",IF(X13&gt;=0.8,"A – Hemen başvur",IF(X13&gt;=0.65,"B – Başvur","C – Opsiyonel")))</f>
        <v>B – Başvur</v>
      </c>
      <c r="AA13" s="20" t="s">
        <v>214</v>
      </c>
      <c r="AB13" s="26" t="n">
        <f aca="false">IF(K13="ESKİ / TAKİP",X13-1,X13)</f>
        <v>0.79</v>
      </c>
      <c r="AC13" s="20" t="s">
        <v>215</v>
      </c>
      <c r="AD13" s="28"/>
      <c r="AE13" s="27" t="s">
        <v>210</v>
      </c>
    </row>
    <row r="14" customFormat="false" ht="63.75" hidden="false" customHeight="true" outlineLevel="0" collapsed="false">
      <c r="A14" s="20" t="n">
        <v>10</v>
      </c>
      <c r="B14" s="20" t="s">
        <v>216</v>
      </c>
      <c r="C14" s="20" t="s">
        <v>217</v>
      </c>
      <c r="D14" s="20" t="s">
        <v>218</v>
      </c>
      <c r="E14" s="20" t="s">
        <v>129</v>
      </c>
      <c r="F14" s="20" t="s">
        <v>219</v>
      </c>
      <c r="G14" s="20" t="s">
        <v>43</v>
      </c>
      <c r="H14" s="20" t="s">
        <v>113</v>
      </c>
      <c r="I14" s="20" t="s">
        <v>220</v>
      </c>
      <c r="J14" s="20" t="s">
        <v>221</v>
      </c>
      <c r="K14" s="20" t="s">
        <v>116</v>
      </c>
      <c r="L14" s="20" t="s">
        <v>222</v>
      </c>
      <c r="M14" s="20" t="s">
        <v>118</v>
      </c>
      <c r="N14" s="21" t="s">
        <v>223</v>
      </c>
      <c r="O14" s="20" t="s">
        <v>224</v>
      </c>
      <c r="P14" s="20" t="s">
        <v>225</v>
      </c>
      <c r="Q14" s="20" t="s">
        <v>226</v>
      </c>
      <c r="R14" s="22" t="n">
        <v>4</v>
      </c>
      <c r="S14" s="22" t="n">
        <v>5</v>
      </c>
      <c r="T14" s="22" t="n">
        <v>2</v>
      </c>
      <c r="U14" s="22" t="n">
        <v>3</v>
      </c>
      <c r="V14" s="22" t="n">
        <v>5</v>
      </c>
      <c r="W14" s="22" t="n">
        <v>5</v>
      </c>
      <c r="X14" s="23" t="n">
        <f aca="false">ROUND((R14*Özet!$C$14+S14*Özet!$C$15+T14*Özet!$C$16+U14*Özet!$C$17+V14*Özet!$C$18+W14*Özet!$C$19)/5,4)</f>
        <v>0.79</v>
      </c>
      <c r="Y14" s="24" t="n">
        <f aca="false">RANK(AB14,$AB$5:$AB$47)+COUNTIF($AB$5:AB14,AB14)-1</f>
        <v>10</v>
      </c>
      <c r="Z14" s="25" t="str">
        <f aca="false">IF(K14="ESKİ / TAKİP","Takip – benzer ilanı bekle",IF(X14&gt;=0.8,"A – Hemen başvur",IF(X14&gt;=0.65,"B – Başvur","C – Opsiyonel")))</f>
        <v>B – Başvur</v>
      </c>
      <c r="AA14" s="20" t="s">
        <v>227</v>
      </c>
      <c r="AB14" s="26" t="n">
        <f aca="false">IF(K14="ESKİ / TAKİP",X14-1,X14)</f>
        <v>0.79</v>
      </c>
      <c r="AC14" s="20" t="s">
        <v>228</v>
      </c>
      <c r="AD14" s="21" t="s">
        <v>229</v>
      </c>
      <c r="AE14" s="27" t="s">
        <v>230</v>
      </c>
    </row>
    <row r="15" customFormat="false" ht="63.75" hidden="false" customHeight="true" outlineLevel="0" collapsed="false">
      <c r="A15" s="20" t="n">
        <v>11</v>
      </c>
      <c r="B15" s="20" t="s">
        <v>108</v>
      </c>
      <c r="C15" s="20" t="s">
        <v>231</v>
      </c>
      <c r="D15" s="20" t="s">
        <v>152</v>
      </c>
      <c r="E15" s="20" t="s">
        <v>111</v>
      </c>
      <c r="F15" s="20" t="s">
        <v>232</v>
      </c>
      <c r="G15" s="20" t="s">
        <v>37</v>
      </c>
      <c r="H15" s="20" t="s">
        <v>113</v>
      </c>
      <c r="I15" s="20" t="s">
        <v>114</v>
      </c>
      <c r="J15" s="20" t="s">
        <v>115</v>
      </c>
      <c r="K15" s="20" t="s">
        <v>207</v>
      </c>
      <c r="L15" s="20" t="s">
        <v>233</v>
      </c>
      <c r="M15" s="20" t="s">
        <v>234</v>
      </c>
      <c r="N15" s="21" t="s">
        <v>235</v>
      </c>
      <c r="O15" s="20" t="s">
        <v>236</v>
      </c>
      <c r="P15" s="20" t="s">
        <v>237</v>
      </c>
      <c r="Q15" s="20" t="s">
        <v>238</v>
      </c>
      <c r="R15" s="22" t="n">
        <v>3</v>
      </c>
      <c r="S15" s="22" t="n">
        <v>4</v>
      </c>
      <c r="T15" s="22" t="n">
        <v>5</v>
      </c>
      <c r="U15" s="22" t="n">
        <v>4</v>
      </c>
      <c r="V15" s="22" t="n">
        <v>5</v>
      </c>
      <c r="W15" s="22" t="n">
        <v>4</v>
      </c>
      <c r="X15" s="23" t="n">
        <f aca="false">ROUND((R15*Özet!$C$14+S15*Özet!$C$15+T15*Özet!$C$16+U15*Özet!$C$17+V15*Özet!$C$18+W15*Özet!$C$19)/5,4)</f>
        <v>0.79</v>
      </c>
      <c r="Y15" s="24" t="n">
        <f aca="false">RANK(AB15,$AB$5:$AB$47)+COUNTIF($AB$5:AB15,AB15)-1</f>
        <v>11</v>
      </c>
      <c r="Z15" s="25" t="str">
        <f aca="false">IF(K15="ESKİ / TAKİP","Takip – benzer ilanı bekle",IF(X15&gt;=0.8,"A – Hemen başvur",IF(X15&gt;=0.65,"B – Başvur","C – Opsiyonel")))</f>
        <v>B – Başvur</v>
      </c>
      <c r="AA15" s="20" t="s">
        <v>239</v>
      </c>
      <c r="AB15" s="26" t="n">
        <f aca="false">IF(K15="ESKİ / TAKİP",X15-1,X15)</f>
        <v>0.79</v>
      </c>
      <c r="AC15" s="20" t="s">
        <v>240</v>
      </c>
      <c r="AD15" s="21" t="s">
        <v>241</v>
      </c>
      <c r="AE15" s="27" t="s">
        <v>125</v>
      </c>
    </row>
    <row r="16" customFormat="false" ht="63.75" hidden="false" customHeight="true" outlineLevel="0" collapsed="false">
      <c r="A16" s="20" t="n">
        <v>12</v>
      </c>
      <c r="B16" s="20" t="s">
        <v>242</v>
      </c>
      <c r="C16" s="20" t="s">
        <v>243</v>
      </c>
      <c r="D16" s="20" t="s">
        <v>244</v>
      </c>
      <c r="E16" s="20" t="s">
        <v>111</v>
      </c>
      <c r="F16" s="20" t="s">
        <v>245</v>
      </c>
      <c r="G16" s="20" t="s">
        <v>37</v>
      </c>
      <c r="H16" s="20" t="s">
        <v>113</v>
      </c>
      <c r="I16" s="20" t="s">
        <v>114</v>
      </c>
      <c r="J16" s="20" t="s">
        <v>115</v>
      </c>
      <c r="K16" s="20" t="s">
        <v>116</v>
      </c>
      <c r="L16" s="20" t="s">
        <v>117</v>
      </c>
      <c r="M16" s="20" t="s">
        <v>118</v>
      </c>
      <c r="N16" s="21" t="s">
        <v>246</v>
      </c>
      <c r="O16" s="20" t="s">
        <v>247</v>
      </c>
      <c r="P16" s="20" t="s">
        <v>248</v>
      </c>
      <c r="Q16" s="20" t="s">
        <v>249</v>
      </c>
      <c r="R16" s="22" t="n">
        <v>3</v>
      </c>
      <c r="S16" s="22" t="n">
        <v>4</v>
      </c>
      <c r="T16" s="22" t="n">
        <v>5</v>
      </c>
      <c r="U16" s="22" t="n">
        <v>4</v>
      </c>
      <c r="V16" s="22" t="n">
        <v>5</v>
      </c>
      <c r="W16" s="22" t="n">
        <v>4</v>
      </c>
      <c r="X16" s="23" t="n">
        <f aca="false">ROUND((R16*Özet!$C$14+S16*Özet!$C$15+T16*Özet!$C$16+U16*Özet!$C$17+V16*Özet!$C$18+W16*Özet!$C$19)/5,4)</f>
        <v>0.79</v>
      </c>
      <c r="Y16" s="24" t="n">
        <f aca="false">RANK(AB16,$AB$5:$AB$47)+COUNTIF($AB$5:AB16,AB16)-1</f>
        <v>12</v>
      </c>
      <c r="Z16" s="25" t="str">
        <f aca="false">IF(K16="ESKİ / TAKİP","Takip – benzer ilanı bekle",IF(X16&gt;=0.8,"A – Hemen başvur",IF(X16&gt;=0.65,"B – Başvur","C – Opsiyonel")))</f>
        <v>B – Başvur</v>
      </c>
      <c r="AA16" s="20" t="s">
        <v>158</v>
      </c>
      <c r="AB16" s="26" t="n">
        <f aca="false">IF(K16="ESKİ / TAKİP",X16-1,X16)</f>
        <v>0.79</v>
      </c>
      <c r="AC16" s="20" t="s">
        <v>250</v>
      </c>
      <c r="AD16" s="28"/>
      <c r="AE16" s="27" t="s">
        <v>251</v>
      </c>
    </row>
    <row r="17" customFormat="false" ht="63.75" hidden="false" customHeight="true" outlineLevel="0" collapsed="false">
      <c r="A17" s="20" t="n">
        <v>13</v>
      </c>
      <c r="B17" s="20" t="s">
        <v>160</v>
      </c>
      <c r="C17" s="20" t="s">
        <v>252</v>
      </c>
      <c r="D17" s="20" t="s">
        <v>162</v>
      </c>
      <c r="E17" s="20" t="s">
        <v>111</v>
      </c>
      <c r="F17" s="20" t="s">
        <v>163</v>
      </c>
      <c r="G17" s="20" t="s">
        <v>37</v>
      </c>
      <c r="H17" s="20" t="s">
        <v>113</v>
      </c>
      <c r="I17" s="20" t="s">
        <v>114</v>
      </c>
      <c r="J17" s="20" t="s">
        <v>115</v>
      </c>
      <c r="K17" s="20" t="s">
        <v>116</v>
      </c>
      <c r="L17" s="20" t="s">
        <v>253</v>
      </c>
      <c r="M17" s="20" t="s">
        <v>118</v>
      </c>
      <c r="N17" s="21" t="s">
        <v>254</v>
      </c>
      <c r="O17" s="20" t="s">
        <v>255</v>
      </c>
      <c r="P17" s="20" t="s">
        <v>256</v>
      </c>
      <c r="Q17" s="20" t="s">
        <v>257</v>
      </c>
      <c r="R17" s="22" t="n">
        <v>3</v>
      </c>
      <c r="S17" s="22" t="n">
        <v>3</v>
      </c>
      <c r="T17" s="22" t="n">
        <v>5</v>
      </c>
      <c r="U17" s="22" t="n">
        <v>4</v>
      </c>
      <c r="V17" s="22" t="n">
        <v>5</v>
      </c>
      <c r="W17" s="22" t="n">
        <v>5</v>
      </c>
      <c r="X17" s="23" t="n">
        <f aca="false">ROUND((R17*Özet!$C$14+S17*Özet!$C$15+T17*Özet!$C$16+U17*Özet!$C$17+V17*Özet!$C$18+W17*Özet!$C$19)/5,4)</f>
        <v>0.77</v>
      </c>
      <c r="Y17" s="24" t="n">
        <f aca="false">RANK(AB17,$AB$5:$AB$47)+COUNTIF($AB$5:AB17,AB17)-1</f>
        <v>13</v>
      </c>
      <c r="Z17" s="25" t="str">
        <f aca="false">IF(K17="ESKİ / TAKİP","Takip – benzer ilanı bekle",IF(X17&gt;=0.8,"A – Hemen başvur",IF(X17&gt;=0.65,"B – Başvur","C – Opsiyonel")))</f>
        <v>B – Başvur</v>
      </c>
      <c r="AA17" s="20" t="s">
        <v>258</v>
      </c>
      <c r="AB17" s="26" t="n">
        <f aca="false">IF(K17="ESKİ / TAKİP",X17-1,X17)</f>
        <v>0.77</v>
      </c>
      <c r="AC17" s="20" t="s">
        <v>259</v>
      </c>
      <c r="AD17" s="28"/>
      <c r="AE17" s="27" t="s">
        <v>171</v>
      </c>
    </row>
    <row r="18" customFormat="false" ht="63.75" hidden="false" customHeight="true" outlineLevel="0" collapsed="false">
      <c r="A18" s="20" t="n">
        <v>14</v>
      </c>
      <c r="B18" s="20" t="s">
        <v>160</v>
      </c>
      <c r="C18" s="20" t="s">
        <v>260</v>
      </c>
      <c r="D18" s="20" t="s">
        <v>162</v>
      </c>
      <c r="E18" s="20" t="s">
        <v>111</v>
      </c>
      <c r="F18" s="20" t="s">
        <v>261</v>
      </c>
      <c r="G18" s="20" t="s">
        <v>37</v>
      </c>
      <c r="H18" s="20" t="s">
        <v>113</v>
      </c>
      <c r="I18" s="20" t="s">
        <v>114</v>
      </c>
      <c r="J18" s="20" t="s">
        <v>115</v>
      </c>
      <c r="K18" s="20" t="s">
        <v>116</v>
      </c>
      <c r="L18" s="20" t="s">
        <v>262</v>
      </c>
      <c r="M18" s="20" t="s">
        <v>118</v>
      </c>
      <c r="N18" s="21" t="s">
        <v>263</v>
      </c>
      <c r="O18" s="20" t="s">
        <v>264</v>
      </c>
      <c r="P18" s="20" t="s">
        <v>265</v>
      </c>
      <c r="Q18" s="20" t="s">
        <v>266</v>
      </c>
      <c r="R18" s="22" t="n">
        <v>3</v>
      </c>
      <c r="S18" s="22" t="n">
        <v>3</v>
      </c>
      <c r="T18" s="22" t="n">
        <v>5</v>
      </c>
      <c r="U18" s="22" t="n">
        <v>4</v>
      </c>
      <c r="V18" s="22" t="n">
        <v>5</v>
      </c>
      <c r="W18" s="22" t="n">
        <v>5</v>
      </c>
      <c r="X18" s="23" t="n">
        <f aca="false">ROUND((R18*Özet!$C$14+S18*Özet!$C$15+T18*Özet!$C$16+U18*Özet!$C$17+V18*Özet!$C$18+W18*Özet!$C$19)/5,4)</f>
        <v>0.77</v>
      </c>
      <c r="Y18" s="24" t="n">
        <f aca="false">RANK(AB18,$AB$5:$AB$47)+COUNTIF($AB$5:AB18,AB18)-1</f>
        <v>14</v>
      </c>
      <c r="Z18" s="25" t="str">
        <f aca="false">IF(K18="ESKİ / TAKİP","Takip – benzer ilanı bekle",IF(X18&gt;=0.8,"A – Hemen başvur",IF(X18&gt;=0.65,"B – Başvur","C – Opsiyonel")))</f>
        <v>B – Başvur</v>
      </c>
      <c r="AA18" s="20" t="s">
        <v>258</v>
      </c>
      <c r="AB18" s="26" t="n">
        <f aca="false">IF(K18="ESKİ / TAKİP",X18-1,X18)</f>
        <v>0.77</v>
      </c>
      <c r="AC18" s="20" t="s">
        <v>267</v>
      </c>
      <c r="AD18" s="28"/>
      <c r="AE18" s="27" t="s">
        <v>171</v>
      </c>
    </row>
    <row r="19" customFormat="false" ht="63.75" hidden="false" customHeight="true" outlineLevel="0" collapsed="false">
      <c r="A19" s="20" t="n">
        <v>15</v>
      </c>
      <c r="B19" s="20" t="s">
        <v>268</v>
      </c>
      <c r="C19" s="20" t="s">
        <v>269</v>
      </c>
      <c r="D19" s="20" t="s">
        <v>270</v>
      </c>
      <c r="E19" s="20" t="s">
        <v>271</v>
      </c>
      <c r="F19" s="20" t="s">
        <v>130</v>
      </c>
      <c r="G19" s="20" t="s">
        <v>43</v>
      </c>
      <c r="H19" s="20" t="s">
        <v>113</v>
      </c>
      <c r="I19" s="20" t="s">
        <v>272</v>
      </c>
      <c r="J19" s="20" t="s">
        <v>273</v>
      </c>
      <c r="K19" s="20" t="s">
        <v>116</v>
      </c>
      <c r="L19" s="20" t="s">
        <v>117</v>
      </c>
      <c r="M19" s="20" t="s">
        <v>209</v>
      </c>
      <c r="N19" s="21" t="s">
        <v>274</v>
      </c>
      <c r="O19" s="20" t="s">
        <v>275</v>
      </c>
      <c r="P19" s="20" t="s">
        <v>276</v>
      </c>
      <c r="Q19" s="20" t="s">
        <v>277</v>
      </c>
      <c r="R19" s="22" t="n">
        <v>5</v>
      </c>
      <c r="S19" s="22" t="n">
        <v>4</v>
      </c>
      <c r="T19" s="22" t="n">
        <v>2</v>
      </c>
      <c r="U19" s="22" t="n">
        <v>4</v>
      </c>
      <c r="V19" s="22" t="n">
        <v>3</v>
      </c>
      <c r="W19" s="22" t="n">
        <v>4</v>
      </c>
      <c r="X19" s="23" t="n">
        <f aca="false">ROUND((R19*Özet!$C$14+S19*Özet!$C$15+T19*Özet!$C$16+U19*Özet!$C$17+V19*Özet!$C$18+W19*Özet!$C$19)/5,4)</f>
        <v>0.77</v>
      </c>
      <c r="Y19" s="24" t="n">
        <f aca="false">RANK(AB19,$AB$5:$AB$47)+COUNTIF($AB$5:AB19,AB19)-1</f>
        <v>15</v>
      </c>
      <c r="Z19" s="25" t="str">
        <f aca="false">IF(K19="ESKİ / TAKİP","Takip – benzer ilanı bekle",IF(X19&gt;=0.8,"A – Hemen başvur",IF(X19&gt;=0.65,"B – Başvur","C – Opsiyonel")))</f>
        <v>B – Başvur</v>
      </c>
      <c r="AA19" s="20" t="s">
        <v>158</v>
      </c>
      <c r="AB19" s="26" t="n">
        <f aca="false">IF(K19="ESKİ / TAKİP",X19-1,X19)</f>
        <v>0.77</v>
      </c>
      <c r="AC19" s="20" t="s">
        <v>278</v>
      </c>
      <c r="AD19" s="28"/>
      <c r="AE19" s="27" t="s">
        <v>279</v>
      </c>
    </row>
    <row r="20" customFormat="false" ht="63.75" hidden="false" customHeight="true" outlineLevel="0" collapsed="false">
      <c r="A20" s="20" t="n">
        <v>16</v>
      </c>
      <c r="B20" s="20" t="s">
        <v>280</v>
      </c>
      <c r="C20" s="20" t="s">
        <v>281</v>
      </c>
      <c r="D20" s="20" t="s">
        <v>282</v>
      </c>
      <c r="E20" s="20" t="s">
        <v>283</v>
      </c>
      <c r="F20" s="20" t="s">
        <v>219</v>
      </c>
      <c r="G20" s="20" t="s">
        <v>41</v>
      </c>
      <c r="H20" s="20" t="s">
        <v>113</v>
      </c>
      <c r="I20" s="20" t="s">
        <v>284</v>
      </c>
      <c r="J20" s="20" t="s">
        <v>285</v>
      </c>
      <c r="K20" s="20" t="s">
        <v>116</v>
      </c>
      <c r="L20" s="20" t="s">
        <v>286</v>
      </c>
      <c r="M20" s="20" t="s">
        <v>118</v>
      </c>
      <c r="N20" s="21" t="s">
        <v>287</v>
      </c>
      <c r="O20" s="20" t="s">
        <v>288</v>
      </c>
      <c r="P20" s="20" t="s">
        <v>289</v>
      </c>
      <c r="Q20" s="20" t="s">
        <v>290</v>
      </c>
      <c r="R20" s="22" t="n">
        <v>4</v>
      </c>
      <c r="S20" s="22" t="n">
        <v>4</v>
      </c>
      <c r="T20" s="22" t="n">
        <v>3</v>
      </c>
      <c r="U20" s="22" t="n">
        <v>4</v>
      </c>
      <c r="V20" s="22" t="n">
        <v>3</v>
      </c>
      <c r="W20" s="22" t="n">
        <v>5</v>
      </c>
      <c r="X20" s="23" t="n">
        <f aca="false">ROUND((R20*Özet!$C$14+S20*Özet!$C$15+T20*Özet!$C$16+U20*Özet!$C$17+V20*Özet!$C$18+W20*Özet!$C$19)/5,4)</f>
        <v>0.76</v>
      </c>
      <c r="Y20" s="24" t="n">
        <f aca="false">RANK(AB20,$AB$5:$AB$47)+COUNTIF($AB$5:AB20,AB20)-1</f>
        <v>16</v>
      </c>
      <c r="Z20" s="25" t="str">
        <f aca="false">IF(K20="ESKİ / TAKİP","Takip – benzer ilanı bekle",IF(X20&gt;=0.8,"A – Hemen başvur",IF(X20&gt;=0.65,"B – Başvur","C – Opsiyonel")))</f>
        <v>B – Başvur</v>
      </c>
      <c r="AA20" s="20" t="s">
        <v>291</v>
      </c>
      <c r="AB20" s="26" t="n">
        <f aca="false">IF(K20="ESKİ / TAKİP",X20-1,X20)</f>
        <v>0.76</v>
      </c>
      <c r="AC20" s="20" t="s">
        <v>292</v>
      </c>
      <c r="AD20" s="21" t="s">
        <v>293</v>
      </c>
      <c r="AE20" s="27" t="s">
        <v>294</v>
      </c>
    </row>
    <row r="21" customFormat="false" ht="63.75" hidden="false" customHeight="true" outlineLevel="0" collapsed="false">
      <c r="A21" s="20" t="n">
        <v>17</v>
      </c>
      <c r="B21" s="20" t="s">
        <v>295</v>
      </c>
      <c r="C21" s="20" t="s">
        <v>296</v>
      </c>
      <c r="D21" s="20" t="s">
        <v>297</v>
      </c>
      <c r="E21" s="20" t="s">
        <v>298</v>
      </c>
      <c r="F21" s="20" t="s">
        <v>299</v>
      </c>
      <c r="G21" s="20" t="s">
        <v>43</v>
      </c>
      <c r="H21" s="20" t="s">
        <v>113</v>
      </c>
      <c r="I21" s="20" t="s">
        <v>114</v>
      </c>
      <c r="J21" s="20" t="s">
        <v>300</v>
      </c>
      <c r="K21" s="20" t="s">
        <v>116</v>
      </c>
      <c r="L21" s="20" t="s">
        <v>117</v>
      </c>
      <c r="M21" s="20" t="s">
        <v>209</v>
      </c>
      <c r="N21" s="21" t="s">
        <v>301</v>
      </c>
      <c r="O21" s="20" t="s">
        <v>302</v>
      </c>
      <c r="P21" s="20" t="s">
        <v>303</v>
      </c>
      <c r="Q21" s="20" t="s">
        <v>304</v>
      </c>
      <c r="R21" s="22" t="n">
        <v>4</v>
      </c>
      <c r="S21" s="22" t="n">
        <v>4</v>
      </c>
      <c r="T21" s="22" t="n">
        <v>2</v>
      </c>
      <c r="U21" s="22" t="n">
        <v>4</v>
      </c>
      <c r="V21" s="22" t="n">
        <v>5</v>
      </c>
      <c r="W21" s="22" t="n">
        <v>5</v>
      </c>
      <c r="X21" s="23" t="n">
        <f aca="false">ROUND((R21*Özet!$C$14+S21*Özet!$C$15+T21*Özet!$C$16+U21*Özet!$C$17+V21*Özet!$C$18+W21*Özet!$C$19)/5,4)</f>
        <v>0.76</v>
      </c>
      <c r="Y21" s="24" t="n">
        <f aca="false">RANK(AB21,$AB$5:$AB$47)+COUNTIF($AB$5:AB21,AB21)-1</f>
        <v>17</v>
      </c>
      <c r="Z21" s="25" t="str">
        <f aca="false">IF(K21="ESKİ / TAKİP","Takip – benzer ilanı bekle",IF(X21&gt;=0.8,"A – Hemen başvur",IF(X21&gt;=0.65,"B – Başvur","C – Opsiyonel")))</f>
        <v>B – Başvur</v>
      </c>
      <c r="AA21" s="20" t="s">
        <v>305</v>
      </c>
      <c r="AB21" s="26" t="n">
        <f aca="false">IF(K21="ESKİ / TAKİP",X21-1,X21)</f>
        <v>0.76</v>
      </c>
      <c r="AC21" s="20" t="s">
        <v>306</v>
      </c>
      <c r="AD21" s="28"/>
      <c r="AE21" s="27" t="s">
        <v>301</v>
      </c>
    </row>
    <row r="22" customFormat="false" ht="63.75" hidden="false" customHeight="true" outlineLevel="0" collapsed="false">
      <c r="A22" s="20" t="n">
        <v>18</v>
      </c>
      <c r="B22" s="20" t="s">
        <v>307</v>
      </c>
      <c r="C22" s="20" t="s">
        <v>308</v>
      </c>
      <c r="D22" s="20" t="s">
        <v>309</v>
      </c>
      <c r="E22" s="20" t="s">
        <v>129</v>
      </c>
      <c r="F22" s="20" t="s">
        <v>310</v>
      </c>
      <c r="G22" s="20" t="s">
        <v>43</v>
      </c>
      <c r="H22" s="20" t="s">
        <v>113</v>
      </c>
      <c r="I22" s="20" t="s">
        <v>114</v>
      </c>
      <c r="J22" s="20" t="s">
        <v>311</v>
      </c>
      <c r="K22" s="20" t="s">
        <v>207</v>
      </c>
      <c r="L22" s="20" t="s">
        <v>312</v>
      </c>
      <c r="M22" s="20" t="s">
        <v>118</v>
      </c>
      <c r="N22" s="21" t="s">
        <v>313</v>
      </c>
      <c r="O22" s="20" t="s">
        <v>314</v>
      </c>
      <c r="P22" s="20" t="s">
        <v>315</v>
      </c>
      <c r="Q22" s="20" t="s">
        <v>316</v>
      </c>
      <c r="R22" s="22" t="n">
        <v>4</v>
      </c>
      <c r="S22" s="22" t="n">
        <v>4</v>
      </c>
      <c r="T22" s="22" t="n">
        <v>2</v>
      </c>
      <c r="U22" s="22" t="n">
        <v>3</v>
      </c>
      <c r="V22" s="22" t="n">
        <v>5</v>
      </c>
      <c r="W22" s="22" t="n">
        <v>5</v>
      </c>
      <c r="X22" s="23" t="n">
        <f aca="false">ROUND((R22*Özet!$C$14+S22*Özet!$C$15+T22*Özet!$C$16+U22*Özet!$C$17+V22*Özet!$C$18+W22*Özet!$C$19)/5,4)</f>
        <v>0.75</v>
      </c>
      <c r="Y22" s="24" t="n">
        <f aca="false">RANK(AB22,$AB$5:$AB$47)+COUNTIF($AB$5:AB22,AB22)-1</f>
        <v>18</v>
      </c>
      <c r="Z22" s="25" t="str">
        <f aca="false">IF(K22="ESKİ / TAKİP","Takip – benzer ilanı bekle",IF(X22&gt;=0.8,"A – Hemen başvur",IF(X22&gt;=0.65,"B – Başvur","C – Opsiyonel")))</f>
        <v>B – Başvur</v>
      </c>
      <c r="AA22" s="20" t="s">
        <v>317</v>
      </c>
      <c r="AB22" s="26" t="n">
        <f aca="false">IF(K22="ESKİ / TAKİP",X22-1,X22)</f>
        <v>0.75</v>
      </c>
      <c r="AC22" s="20" t="s">
        <v>318</v>
      </c>
      <c r="AD22" s="21" t="s">
        <v>319</v>
      </c>
      <c r="AE22" s="27" t="s">
        <v>319</v>
      </c>
    </row>
    <row r="23" customFormat="false" ht="63.75" hidden="false" customHeight="true" outlineLevel="0" collapsed="false">
      <c r="A23" s="20" t="n">
        <v>19</v>
      </c>
      <c r="B23" s="20" t="s">
        <v>242</v>
      </c>
      <c r="C23" s="20" t="s">
        <v>320</v>
      </c>
      <c r="D23" s="20" t="s">
        <v>244</v>
      </c>
      <c r="E23" s="20" t="s">
        <v>111</v>
      </c>
      <c r="F23" s="20" t="s">
        <v>321</v>
      </c>
      <c r="G23" s="20" t="s">
        <v>41</v>
      </c>
      <c r="H23" s="20" t="s">
        <v>113</v>
      </c>
      <c r="I23" s="20" t="s">
        <v>181</v>
      </c>
      <c r="J23" s="20" t="s">
        <v>322</v>
      </c>
      <c r="K23" s="20" t="s">
        <v>116</v>
      </c>
      <c r="L23" s="20" t="s">
        <v>323</v>
      </c>
      <c r="M23" s="20" t="s">
        <v>118</v>
      </c>
      <c r="N23" s="21" t="s">
        <v>324</v>
      </c>
      <c r="O23" s="20" t="s">
        <v>325</v>
      </c>
      <c r="P23" s="20" t="s">
        <v>326</v>
      </c>
      <c r="Q23" s="20" t="s">
        <v>327</v>
      </c>
      <c r="R23" s="22" t="n">
        <v>4</v>
      </c>
      <c r="S23" s="22" t="n">
        <v>3</v>
      </c>
      <c r="T23" s="22" t="n">
        <v>4</v>
      </c>
      <c r="U23" s="22" t="n">
        <v>4</v>
      </c>
      <c r="V23" s="22" t="n">
        <v>5</v>
      </c>
      <c r="W23" s="22" t="n">
        <v>2</v>
      </c>
      <c r="X23" s="23" t="n">
        <f aca="false">ROUND((R23*Özet!$C$14+S23*Özet!$C$15+T23*Özet!$C$16+U23*Özet!$C$17+V23*Özet!$C$18+W23*Özet!$C$19)/5,4)</f>
        <v>0.74</v>
      </c>
      <c r="Y23" s="24" t="n">
        <f aca="false">RANK(AB23,$AB$5:$AB$47)+COUNTIF($AB$5:AB23,AB23)-1</f>
        <v>19</v>
      </c>
      <c r="Z23" s="25" t="str">
        <f aca="false">IF(K23="ESKİ / TAKİP","Takip – benzer ilanı bekle",IF(X23&gt;=0.8,"A – Hemen başvur",IF(X23&gt;=0.65,"B – Başvur","C – Opsiyonel")))</f>
        <v>B – Başvur</v>
      </c>
      <c r="AA23" s="20" t="s">
        <v>328</v>
      </c>
      <c r="AB23" s="26" t="n">
        <f aca="false">IF(K23="ESKİ / TAKİP",X23-1,X23)</f>
        <v>0.74</v>
      </c>
      <c r="AC23" s="20" t="s">
        <v>329</v>
      </c>
      <c r="AD23" s="28"/>
      <c r="AE23" s="27" t="s">
        <v>251</v>
      </c>
    </row>
    <row r="24" customFormat="false" ht="63.75" hidden="false" customHeight="true" outlineLevel="0" collapsed="false">
      <c r="A24" s="20" t="n">
        <v>20</v>
      </c>
      <c r="B24" s="20" t="s">
        <v>330</v>
      </c>
      <c r="C24" s="20" t="s">
        <v>331</v>
      </c>
      <c r="D24" s="20" t="s">
        <v>332</v>
      </c>
      <c r="E24" s="20" t="s">
        <v>129</v>
      </c>
      <c r="F24" s="20" t="s">
        <v>321</v>
      </c>
      <c r="G24" s="20" t="s">
        <v>43</v>
      </c>
      <c r="H24" s="20" t="s">
        <v>113</v>
      </c>
      <c r="I24" s="20" t="s">
        <v>114</v>
      </c>
      <c r="J24" s="20" t="s">
        <v>115</v>
      </c>
      <c r="K24" s="20" t="s">
        <v>116</v>
      </c>
      <c r="L24" s="20" t="s">
        <v>333</v>
      </c>
      <c r="M24" s="20" t="s">
        <v>234</v>
      </c>
      <c r="N24" s="21" t="s">
        <v>334</v>
      </c>
      <c r="O24" s="20" t="s">
        <v>335</v>
      </c>
      <c r="P24" s="20" t="s">
        <v>336</v>
      </c>
      <c r="Q24" s="20" t="s">
        <v>337</v>
      </c>
      <c r="R24" s="22" t="n">
        <v>4</v>
      </c>
      <c r="S24" s="22" t="n">
        <v>4</v>
      </c>
      <c r="T24" s="22" t="n">
        <v>2</v>
      </c>
      <c r="U24" s="22" t="n">
        <v>3</v>
      </c>
      <c r="V24" s="22" t="n">
        <v>5</v>
      </c>
      <c r="W24" s="22" t="n">
        <v>4</v>
      </c>
      <c r="X24" s="23" t="n">
        <f aca="false">ROUND((R24*Özet!$C$14+S24*Özet!$C$15+T24*Özet!$C$16+U24*Özet!$C$17+V24*Özet!$C$18+W24*Özet!$C$19)/5,4)</f>
        <v>0.73</v>
      </c>
      <c r="Y24" s="24" t="n">
        <f aca="false">RANK(AB24,$AB$5:$AB$47)+COUNTIF($AB$5:AB24,AB24)-1</f>
        <v>20</v>
      </c>
      <c r="Z24" s="25" t="str">
        <f aca="false">IF(K24="ESKİ / TAKİP","Takip – benzer ilanı bekle",IF(X24&gt;=0.8,"A – Hemen başvur",IF(X24&gt;=0.65,"B – Başvur","C – Opsiyonel")))</f>
        <v>B – Başvur</v>
      </c>
      <c r="AA24" s="20" t="s">
        <v>158</v>
      </c>
      <c r="AB24" s="26" t="n">
        <f aca="false">IF(K24="ESKİ / TAKİP",X24-1,X24)</f>
        <v>0.73</v>
      </c>
      <c r="AC24" s="20" t="s">
        <v>338</v>
      </c>
      <c r="AD24" s="21" t="s">
        <v>339</v>
      </c>
      <c r="AE24" s="27" t="s">
        <v>339</v>
      </c>
    </row>
    <row r="25" customFormat="false" ht="63.75" hidden="false" customHeight="true" outlineLevel="0" collapsed="false">
      <c r="A25" s="20" t="n">
        <v>21</v>
      </c>
      <c r="B25" s="20" t="s">
        <v>139</v>
      </c>
      <c r="C25" s="20" t="s">
        <v>340</v>
      </c>
      <c r="D25" s="20" t="s">
        <v>341</v>
      </c>
      <c r="E25" s="20" t="s">
        <v>142</v>
      </c>
      <c r="F25" s="20" t="s">
        <v>342</v>
      </c>
      <c r="G25" s="20" t="s">
        <v>41</v>
      </c>
      <c r="H25" s="20" t="s">
        <v>113</v>
      </c>
      <c r="I25" s="20" t="s">
        <v>181</v>
      </c>
      <c r="J25" s="20" t="s">
        <v>115</v>
      </c>
      <c r="K25" s="20" t="s">
        <v>116</v>
      </c>
      <c r="L25" s="20" t="s">
        <v>117</v>
      </c>
      <c r="M25" s="20" t="s">
        <v>118</v>
      </c>
      <c r="N25" s="21" t="s">
        <v>343</v>
      </c>
      <c r="O25" s="20" t="s">
        <v>344</v>
      </c>
      <c r="P25" s="20" t="s">
        <v>345</v>
      </c>
      <c r="Q25" s="20" t="s">
        <v>346</v>
      </c>
      <c r="R25" s="22" t="n">
        <v>4</v>
      </c>
      <c r="S25" s="22" t="n">
        <v>3</v>
      </c>
      <c r="T25" s="22" t="n">
        <v>3</v>
      </c>
      <c r="U25" s="22" t="n">
        <v>3</v>
      </c>
      <c r="V25" s="22" t="n">
        <v>5</v>
      </c>
      <c r="W25" s="22" t="n">
        <v>4</v>
      </c>
      <c r="X25" s="23" t="n">
        <f aca="false">ROUND((R25*Özet!$C$14+S25*Özet!$C$15+T25*Özet!$C$16+U25*Özet!$C$17+V25*Özet!$C$18+W25*Özet!$C$19)/5,4)</f>
        <v>0.73</v>
      </c>
      <c r="Y25" s="24" t="n">
        <f aca="false">RANK(AB25,$AB$5:$AB$47)+COUNTIF($AB$5:AB25,AB25)-1</f>
        <v>21</v>
      </c>
      <c r="Z25" s="25" t="str">
        <f aca="false">IF(K25="ESKİ / TAKİP","Takip – benzer ilanı bekle",IF(X25&gt;=0.8,"A – Hemen başvur",IF(X25&gt;=0.65,"B – Başvur","C – Opsiyonel")))</f>
        <v>B – Başvur</v>
      </c>
      <c r="AA25" s="20" t="s">
        <v>347</v>
      </c>
      <c r="AB25" s="26" t="n">
        <f aca="false">IF(K25="ESKİ / TAKİP",X25-1,X25)</f>
        <v>0.73</v>
      </c>
      <c r="AC25" s="20" t="s">
        <v>188</v>
      </c>
      <c r="AD25" s="28"/>
      <c r="AE25" s="27" t="s">
        <v>150</v>
      </c>
    </row>
    <row r="26" customFormat="false" ht="63.75" hidden="false" customHeight="true" outlineLevel="0" collapsed="false">
      <c r="A26" s="20" t="n">
        <v>22</v>
      </c>
      <c r="B26" s="20" t="s">
        <v>348</v>
      </c>
      <c r="C26" s="20" t="s">
        <v>349</v>
      </c>
      <c r="D26" s="20" t="s">
        <v>218</v>
      </c>
      <c r="E26" s="20" t="s">
        <v>129</v>
      </c>
      <c r="F26" s="20" t="s">
        <v>350</v>
      </c>
      <c r="G26" s="20" t="s">
        <v>43</v>
      </c>
      <c r="H26" s="20" t="s">
        <v>113</v>
      </c>
      <c r="I26" s="20" t="s">
        <v>114</v>
      </c>
      <c r="J26" s="20" t="s">
        <v>115</v>
      </c>
      <c r="K26" s="20" t="s">
        <v>116</v>
      </c>
      <c r="L26" s="20" t="s">
        <v>117</v>
      </c>
      <c r="M26" s="20" t="s">
        <v>118</v>
      </c>
      <c r="N26" s="21" t="s">
        <v>351</v>
      </c>
      <c r="O26" s="20" t="s">
        <v>352</v>
      </c>
      <c r="P26" s="20" t="s">
        <v>353</v>
      </c>
      <c r="Q26" s="20" t="s">
        <v>354</v>
      </c>
      <c r="R26" s="22" t="n">
        <v>4</v>
      </c>
      <c r="S26" s="22" t="n">
        <v>4</v>
      </c>
      <c r="T26" s="22" t="n">
        <v>2</v>
      </c>
      <c r="U26" s="22" t="n">
        <v>3</v>
      </c>
      <c r="V26" s="22" t="n">
        <v>5</v>
      </c>
      <c r="W26" s="22" t="n">
        <v>4</v>
      </c>
      <c r="X26" s="23" t="n">
        <f aca="false">ROUND((R26*Özet!$C$14+S26*Özet!$C$15+T26*Özet!$C$16+U26*Özet!$C$17+V26*Özet!$C$18+W26*Özet!$C$19)/5,4)</f>
        <v>0.73</v>
      </c>
      <c r="Y26" s="24" t="n">
        <f aca="false">RANK(AB26,$AB$5:$AB$47)+COUNTIF($AB$5:AB26,AB26)-1</f>
        <v>22</v>
      </c>
      <c r="Z26" s="25" t="str">
        <f aca="false">IF(K26="ESKİ / TAKİP","Takip – benzer ilanı bekle",IF(X26&gt;=0.8,"A – Hemen başvur",IF(X26&gt;=0.65,"B – Başvur","C – Opsiyonel")))</f>
        <v>B – Başvur</v>
      </c>
      <c r="AA26" s="20" t="s">
        <v>158</v>
      </c>
      <c r="AB26" s="26" t="n">
        <f aca="false">IF(K26="ESKİ / TAKİP",X26-1,X26)</f>
        <v>0.73</v>
      </c>
      <c r="AC26" s="20" t="s">
        <v>355</v>
      </c>
      <c r="AD26" s="28"/>
      <c r="AE26" s="27" t="s">
        <v>356</v>
      </c>
    </row>
    <row r="27" customFormat="false" ht="63.75" hidden="false" customHeight="true" outlineLevel="0" collapsed="false">
      <c r="A27" s="20" t="n">
        <v>23</v>
      </c>
      <c r="B27" s="20" t="s">
        <v>357</v>
      </c>
      <c r="C27" s="20" t="s">
        <v>358</v>
      </c>
      <c r="D27" s="20" t="s">
        <v>359</v>
      </c>
      <c r="E27" s="20" t="s">
        <v>360</v>
      </c>
      <c r="F27" s="20" t="s">
        <v>321</v>
      </c>
      <c r="G27" s="20" t="s">
        <v>41</v>
      </c>
      <c r="H27" s="20" t="s">
        <v>113</v>
      </c>
      <c r="I27" s="20" t="s">
        <v>181</v>
      </c>
      <c r="J27" s="20" t="s">
        <v>115</v>
      </c>
      <c r="K27" s="20" t="s">
        <v>116</v>
      </c>
      <c r="L27" s="20" t="s">
        <v>117</v>
      </c>
      <c r="M27" s="20" t="s">
        <v>118</v>
      </c>
      <c r="N27" s="21" t="s">
        <v>361</v>
      </c>
      <c r="O27" s="20" t="s">
        <v>362</v>
      </c>
      <c r="P27" s="20" t="s">
        <v>363</v>
      </c>
      <c r="Q27" s="20" t="s">
        <v>364</v>
      </c>
      <c r="R27" s="22" t="n">
        <v>4</v>
      </c>
      <c r="S27" s="22" t="n">
        <v>3</v>
      </c>
      <c r="T27" s="22" t="n">
        <v>3</v>
      </c>
      <c r="U27" s="22" t="n">
        <v>4</v>
      </c>
      <c r="V27" s="22" t="n">
        <v>5</v>
      </c>
      <c r="W27" s="22" t="n">
        <v>3</v>
      </c>
      <c r="X27" s="23" t="n">
        <f aca="false">ROUND((R27*Özet!$C$14+S27*Özet!$C$15+T27*Özet!$C$16+U27*Özet!$C$17+V27*Özet!$C$18+W27*Özet!$C$19)/5,4)</f>
        <v>0.72</v>
      </c>
      <c r="Y27" s="24" t="n">
        <f aca="false">RANK(AB27,$AB$5:$AB$47)+COUNTIF($AB$5:AB27,AB27)-1</f>
        <v>23</v>
      </c>
      <c r="Z27" s="25" t="str">
        <f aca="false">IF(K27="ESKİ / TAKİP","Takip – benzer ilanı bekle",IF(X27&gt;=0.8,"A – Hemen başvur",IF(X27&gt;=0.65,"B – Başvur","C – Opsiyonel")))</f>
        <v>B – Başvur</v>
      </c>
      <c r="AA27" s="20" t="s">
        <v>365</v>
      </c>
      <c r="AB27" s="26" t="n">
        <f aca="false">IF(K27="ESKİ / TAKİP",X27-1,X27)</f>
        <v>0.72</v>
      </c>
      <c r="AC27" s="20" t="s">
        <v>366</v>
      </c>
      <c r="AD27" s="28"/>
      <c r="AE27" s="27" t="s">
        <v>367</v>
      </c>
    </row>
    <row r="28" customFormat="false" ht="63.75" hidden="false" customHeight="true" outlineLevel="0" collapsed="false">
      <c r="A28" s="20" t="n">
        <v>24</v>
      </c>
      <c r="B28" s="20" t="s">
        <v>368</v>
      </c>
      <c r="C28" s="20" t="s">
        <v>369</v>
      </c>
      <c r="D28" s="20" t="s">
        <v>332</v>
      </c>
      <c r="E28" s="20" t="s">
        <v>129</v>
      </c>
      <c r="F28" s="20" t="s">
        <v>130</v>
      </c>
      <c r="G28" s="20" t="s">
        <v>41</v>
      </c>
      <c r="H28" s="20" t="s">
        <v>113</v>
      </c>
      <c r="I28" s="20" t="s">
        <v>181</v>
      </c>
      <c r="J28" s="20" t="s">
        <v>370</v>
      </c>
      <c r="K28" s="20" t="s">
        <v>116</v>
      </c>
      <c r="L28" s="20" t="s">
        <v>117</v>
      </c>
      <c r="M28" s="20" t="s">
        <v>118</v>
      </c>
      <c r="N28" s="21" t="s">
        <v>371</v>
      </c>
      <c r="O28" s="20" t="s">
        <v>372</v>
      </c>
      <c r="P28" s="20" t="s">
        <v>373</v>
      </c>
      <c r="Q28" s="20" t="s">
        <v>374</v>
      </c>
      <c r="R28" s="22" t="n">
        <v>4</v>
      </c>
      <c r="S28" s="22" t="n">
        <v>3</v>
      </c>
      <c r="T28" s="22" t="n">
        <v>3</v>
      </c>
      <c r="U28" s="22" t="n">
        <v>4</v>
      </c>
      <c r="V28" s="22" t="n">
        <v>5</v>
      </c>
      <c r="W28" s="22" t="n">
        <v>3</v>
      </c>
      <c r="X28" s="23" t="n">
        <f aca="false">ROUND((R28*Özet!$C$14+S28*Özet!$C$15+T28*Özet!$C$16+U28*Özet!$C$17+V28*Özet!$C$18+W28*Özet!$C$19)/5,4)</f>
        <v>0.72</v>
      </c>
      <c r="Y28" s="24" t="n">
        <f aca="false">RANK(AB28,$AB$5:$AB$47)+COUNTIF($AB$5:AB28,AB28)-1</f>
        <v>24</v>
      </c>
      <c r="Z28" s="25" t="str">
        <f aca="false">IF(K28="ESKİ / TAKİP","Takip – benzer ilanı bekle",IF(X28&gt;=0.8,"A – Hemen başvur",IF(X28&gt;=0.65,"B – Başvur","C – Opsiyonel")))</f>
        <v>B – Başvur</v>
      </c>
      <c r="AA28" s="20" t="s">
        <v>158</v>
      </c>
      <c r="AB28" s="26" t="n">
        <f aca="false">IF(K28="ESKİ / TAKİP",X28-1,X28)</f>
        <v>0.72</v>
      </c>
      <c r="AC28" s="20" t="s">
        <v>375</v>
      </c>
      <c r="AD28" s="28"/>
      <c r="AE28" s="27" t="s">
        <v>376</v>
      </c>
    </row>
    <row r="29" customFormat="false" ht="63.75" hidden="false" customHeight="true" outlineLevel="0" collapsed="false">
      <c r="A29" s="20" t="n">
        <v>25</v>
      </c>
      <c r="B29" s="20" t="s">
        <v>108</v>
      </c>
      <c r="C29" s="20" t="s">
        <v>377</v>
      </c>
      <c r="D29" s="20" t="s">
        <v>152</v>
      </c>
      <c r="E29" s="20" t="s">
        <v>111</v>
      </c>
      <c r="F29" s="20" t="s">
        <v>219</v>
      </c>
      <c r="G29" s="20" t="s">
        <v>37</v>
      </c>
      <c r="H29" s="20" t="s">
        <v>113</v>
      </c>
      <c r="I29" s="20" t="s">
        <v>220</v>
      </c>
      <c r="J29" s="20" t="s">
        <v>115</v>
      </c>
      <c r="K29" s="20" t="s">
        <v>116</v>
      </c>
      <c r="L29" s="20" t="s">
        <v>378</v>
      </c>
      <c r="M29" s="20" t="s">
        <v>118</v>
      </c>
      <c r="N29" s="21" t="s">
        <v>379</v>
      </c>
      <c r="O29" s="20" t="s">
        <v>380</v>
      </c>
      <c r="P29" s="20" t="s">
        <v>381</v>
      </c>
      <c r="Q29" s="20" t="s">
        <v>382</v>
      </c>
      <c r="R29" s="22" t="n">
        <v>2</v>
      </c>
      <c r="S29" s="22" t="n">
        <v>4</v>
      </c>
      <c r="T29" s="22" t="n">
        <v>5</v>
      </c>
      <c r="U29" s="22" t="n">
        <v>4</v>
      </c>
      <c r="V29" s="22" t="n">
        <v>5</v>
      </c>
      <c r="W29" s="22" t="n">
        <v>4</v>
      </c>
      <c r="X29" s="23" t="n">
        <f aca="false">ROUND((R29*Özet!$C$14+S29*Özet!$C$15+T29*Özet!$C$16+U29*Özet!$C$17+V29*Özet!$C$18+W29*Özet!$C$19)/5,4)</f>
        <v>0.72</v>
      </c>
      <c r="Y29" s="24" t="n">
        <f aca="false">RANK(AB29,$AB$5:$AB$47)+COUNTIF($AB$5:AB29,AB29)-1</f>
        <v>25</v>
      </c>
      <c r="Z29" s="25" t="str">
        <f aca="false">IF(K29="ESKİ / TAKİP","Takip – benzer ilanı bekle",IF(X29&gt;=0.8,"A – Hemen başvur",IF(X29&gt;=0.65,"B – Başvur","C – Opsiyonel")))</f>
        <v>B – Başvur</v>
      </c>
      <c r="AA29" s="20" t="s">
        <v>158</v>
      </c>
      <c r="AB29" s="26" t="n">
        <f aca="false">IF(K29="ESKİ / TAKİP",X29-1,X29)</f>
        <v>0.72</v>
      </c>
      <c r="AC29" s="20" t="s">
        <v>383</v>
      </c>
      <c r="AD29" s="28"/>
      <c r="AE29" s="27" t="s">
        <v>125</v>
      </c>
    </row>
    <row r="30" customFormat="false" ht="63.75" hidden="false" customHeight="true" outlineLevel="0" collapsed="false">
      <c r="A30" s="20" t="n">
        <v>26</v>
      </c>
      <c r="B30" s="20" t="s">
        <v>384</v>
      </c>
      <c r="C30" s="20" t="s">
        <v>385</v>
      </c>
      <c r="D30" s="20" t="s">
        <v>386</v>
      </c>
      <c r="E30" s="20" t="s">
        <v>129</v>
      </c>
      <c r="F30" s="20" t="s">
        <v>219</v>
      </c>
      <c r="G30" s="20" t="s">
        <v>43</v>
      </c>
      <c r="H30" s="20" t="s">
        <v>113</v>
      </c>
      <c r="I30" s="20" t="s">
        <v>284</v>
      </c>
      <c r="J30" s="20" t="s">
        <v>387</v>
      </c>
      <c r="K30" s="20" t="s">
        <v>207</v>
      </c>
      <c r="L30" s="20" t="s">
        <v>388</v>
      </c>
      <c r="M30" s="20" t="s">
        <v>209</v>
      </c>
      <c r="N30" s="21" t="s">
        <v>389</v>
      </c>
      <c r="O30" s="20" t="s">
        <v>390</v>
      </c>
      <c r="P30" s="20" t="s">
        <v>391</v>
      </c>
      <c r="Q30" s="20" t="s">
        <v>392</v>
      </c>
      <c r="R30" s="22" t="n">
        <v>3</v>
      </c>
      <c r="S30" s="22" t="n">
        <v>5</v>
      </c>
      <c r="T30" s="22" t="n">
        <v>2</v>
      </c>
      <c r="U30" s="22" t="n">
        <v>3</v>
      </c>
      <c r="V30" s="22" t="n">
        <v>5</v>
      </c>
      <c r="W30" s="22" t="n">
        <v>5</v>
      </c>
      <c r="X30" s="23" t="n">
        <f aca="false">ROUND((R30*Özet!$C$14+S30*Özet!$C$15+T30*Özet!$C$16+U30*Özet!$C$17+V30*Özet!$C$18+W30*Özet!$C$19)/5,4)</f>
        <v>0.72</v>
      </c>
      <c r="Y30" s="24" t="n">
        <f aca="false">RANK(AB30,$AB$5:$AB$47)+COUNTIF($AB$5:AB30,AB30)-1</f>
        <v>26</v>
      </c>
      <c r="Z30" s="25" t="str">
        <f aca="false">IF(K30="ESKİ / TAKİP","Takip – benzer ilanı bekle",IF(X30&gt;=0.8,"A – Hemen başvur",IF(X30&gt;=0.65,"B – Başvur","C – Opsiyonel")))</f>
        <v>B – Başvur</v>
      </c>
      <c r="AA30" s="20" t="s">
        <v>393</v>
      </c>
      <c r="AB30" s="26" t="n">
        <f aca="false">IF(K30="ESKİ / TAKİP",X30-1,X30)</f>
        <v>0.72</v>
      </c>
      <c r="AC30" s="20" t="s">
        <v>394</v>
      </c>
      <c r="AD30" s="28"/>
      <c r="AE30" s="27" t="s">
        <v>389</v>
      </c>
    </row>
    <row r="31" customFormat="false" ht="63.75" hidden="false" customHeight="true" outlineLevel="0" collapsed="false">
      <c r="A31" s="20" t="n">
        <v>27</v>
      </c>
      <c r="B31" s="20" t="s">
        <v>395</v>
      </c>
      <c r="C31" s="20" t="s">
        <v>396</v>
      </c>
      <c r="D31" s="20" t="s">
        <v>397</v>
      </c>
      <c r="E31" s="20" t="s">
        <v>398</v>
      </c>
      <c r="F31" s="20" t="s">
        <v>399</v>
      </c>
      <c r="G31" s="20" t="s">
        <v>43</v>
      </c>
      <c r="H31" s="20" t="s">
        <v>113</v>
      </c>
      <c r="I31" s="20" t="s">
        <v>114</v>
      </c>
      <c r="J31" s="20" t="s">
        <v>115</v>
      </c>
      <c r="K31" s="20" t="s">
        <v>116</v>
      </c>
      <c r="L31" s="20" t="s">
        <v>117</v>
      </c>
      <c r="M31" s="20" t="s">
        <v>118</v>
      </c>
      <c r="N31" s="21" t="s">
        <v>400</v>
      </c>
      <c r="O31" s="20" t="s">
        <v>401</v>
      </c>
      <c r="P31" s="20" t="s">
        <v>402</v>
      </c>
      <c r="Q31" s="20" t="s">
        <v>403</v>
      </c>
      <c r="R31" s="22" t="n">
        <v>4</v>
      </c>
      <c r="S31" s="22" t="n">
        <v>4</v>
      </c>
      <c r="T31" s="22" t="n">
        <v>2</v>
      </c>
      <c r="U31" s="22" t="n">
        <v>3</v>
      </c>
      <c r="V31" s="22" t="n">
        <v>4</v>
      </c>
      <c r="W31" s="22" t="n">
        <v>4</v>
      </c>
      <c r="X31" s="23" t="n">
        <f aca="false">ROUND((R31*Özet!$C$14+S31*Özet!$C$15+T31*Özet!$C$16+U31*Özet!$C$17+V31*Özet!$C$18+W31*Özet!$C$19)/5,4)</f>
        <v>0.71</v>
      </c>
      <c r="Y31" s="24" t="n">
        <f aca="false">RANK(AB31,$AB$5:$AB$47)+COUNTIF($AB$5:AB31,AB31)-1</f>
        <v>27</v>
      </c>
      <c r="Z31" s="25" t="str">
        <f aca="false">IF(K31="ESKİ / TAKİP","Takip – benzer ilanı bekle",IF(X31&gt;=0.8,"A – Hemen başvur",IF(X31&gt;=0.65,"B – Başvur","C – Opsiyonel")))</f>
        <v>B – Başvur</v>
      </c>
      <c r="AA31" s="20" t="s">
        <v>404</v>
      </c>
      <c r="AB31" s="26" t="n">
        <f aca="false">IF(K31="ESKİ / TAKİP",X31-1,X31)</f>
        <v>0.71</v>
      </c>
      <c r="AC31" s="20" t="s">
        <v>405</v>
      </c>
      <c r="AD31" s="28"/>
      <c r="AE31" s="27" t="s">
        <v>406</v>
      </c>
    </row>
    <row r="32" customFormat="false" ht="63.75" hidden="false" customHeight="true" outlineLevel="0" collapsed="false">
      <c r="A32" s="20" t="n">
        <v>28</v>
      </c>
      <c r="B32" s="20" t="s">
        <v>407</v>
      </c>
      <c r="C32" s="20" t="s">
        <v>408</v>
      </c>
      <c r="D32" s="20" t="s">
        <v>332</v>
      </c>
      <c r="E32" s="20" t="s">
        <v>129</v>
      </c>
      <c r="F32" s="20" t="s">
        <v>409</v>
      </c>
      <c r="G32" s="20" t="s">
        <v>43</v>
      </c>
      <c r="H32" s="20" t="s">
        <v>113</v>
      </c>
      <c r="I32" s="20" t="s">
        <v>272</v>
      </c>
      <c r="J32" s="20" t="s">
        <v>410</v>
      </c>
      <c r="K32" s="20" t="s">
        <v>116</v>
      </c>
      <c r="L32" s="20" t="s">
        <v>411</v>
      </c>
      <c r="M32" s="20" t="s">
        <v>118</v>
      </c>
      <c r="N32" s="21" t="s">
        <v>412</v>
      </c>
      <c r="O32" s="20" t="s">
        <v>413</v>
      </c>
      <c r="P32" s="20" t="s">
        <v>414</v>
      </c>
      <c r="Q32" s="20" t="s">
        <v>415</v>
      </c>
      <c r="R32" s="22" t="n">
        <v>4</v>
      </c>
      <c r="S32" s="22" t="n">
        <v>3</v>
      </c>
      <c r="T32" s="22" t="n">
        <v>2</v>
      </c>
      <c r="U32" s="22" t="n">
        <v>4</v>
      </c>
      <c r="V32" s="22" t="n">
        <v>5</v>
      </c>
      <c r="W32" s="22" t="n">
        <v>3</v>
      </c>
      <c r="X32" s="23" t="n">
        <f aca="false">ROUND((R32*Özet!$C$14+S32*Özet!$C$15+T32*Özet!$C$16+U32*Özet!$C$17+V32*Özet!$C$18+W32*Özet!$C$19)/5,4)</f>
        <v>0.68</v>
      </c>
      <c r="Y32" s="24" t="n">
        <f aca="false">RANK(AB32,$AB$5:$AB$47)+COUNTIF($AB$5:AB32,AB32)-1</f>
        <v>28</v>
      </c>
      <c r="Z32" s="25" t="str">
        <f aca="false">IF(K32="ESKİ / TAKİP","Takip – benzer ilanı bekle",IF(X32&gt;=0.8,"A – Hemen başvur",IF(X32&gt;=0.65,"B – Başvur","C – Opsiyonel")))</f>
        <v>B – Başvur</v>
      </c>
      <c r="AA32" s="20" t="s">
        <v>158</v>
      </c>
      <c r="AB32" s="26" t="n">
        <f aca="false">IF(K32="ESKİ / TAKİP",X32-1,X32)</f>
        <v>0.68</v>
      </c>
      <c r="AC32" s="20" t="s">
        <v>416</v>
      </c>
      <c r="AD32" s="28"/>
      <c r="AE32" s="27" t="s">
        <v>417</v>
      </c>
    </row>
    <row r="33" customFormat="false" ht="63.75" hidden="false" customHeight="true" outlineLevel="0" collapsed="false">
      <c r="A33" s="20" t="n">
        <v>29</v>
      </c>
      <c r="B33" s="20" t="s">
        <v>418</v>
      </c>
      <c r="C33" s="20" t="s">
        <v>419</v>
      </c>
      <c r="D33" s="20" t="s">
        <v>420</v>
      </c>
      <c r="E33" s="20" t="s">
        <v>360</v>
      </c>
      <c r="F33" s="20" t="s">
        <v>421</v>
      </c>
      <c r="G33" s="20" t="s">
        <v>43</v>
      </c>
      <c r="H33" s="20" t="s">
        <v>113</v>
      </c>
      <c r="I33" s="20" t="s">
        <v>181</v>
      </c>
      <c r="J33" s="20" t="s">
        <v>115</v>
      </c>
      <c r="K33" s="20" t="s">
        <v>116</v>
      </c>
      <c r="L33" s="20" t="s">
        <v>117</v>
      </c>
      <c r="M33" s="20" t="s">
        <v>209</v>
      </c>
      <c r="N33" s="21" t="s">
        <v>422</v>
      </c>
      <c r="O33" s="20" t="s">
        <v>423</v>
      </c>
      <c r="P33" s="20" t="s">
        <v>424</v>
      </c>
      <c r="Q33" s="20" t="s">
        <v>425</v>
      </c>
      <c r="R33" s="22" t="n">
        <v>4</v>
      </c>
      <c r="S33" s="22" t="n">
        <v>3</v>
      </c>
      <c r="T33" s="22" t="n">
        <v>2</v>
      </c>
      <c r="U33" s="22" t="n">
        <v>4</v>
      </c>
      <c r="V33" s="22" t="n">
        <v>5</v>
      </c>
      <c r="W33" s="22" t="n">
        <v>3</v>
      </c>
      <c r="X33" s="23" t="n">
        <f aca="false">ROUND((R33*Özet!$C$14+S33*Özet!$C$15+T33*Özet!$C$16+U33*Özet!$C$17+V33*Özet!$C$18+W33*Özet!$C$19)/5,4)</f>
        <v>0.68</v>
      </c>
      <c r="Y33" s="24" t="n">
        <f aca="false">RANK(AB33,$AB$5:$AB$47)+COUNTIF($AB$5:AB33,AB33)-1</f>
        <v>29</v>
      </c>
      <c r="Z33" s="25" t="str">
        <f aca="false">IF(K33="ESKİ / TAKİP","Takip – benzer ilanı bekle",IF(X33&gt;=0.8,"A – Hemen başvur",IF(X33&gt;=0.65,"B – Başvur","C – Opsiyonel")))</f>
        <v>B – Başvur</v>
      </c>
      <c r="AA33" s="20" t="s">
        <v>426</v>
      </c>
      <c r="AB33" s="26" t="n">
        <f aca="false">IF(K33="ESKİ / TAKİP",X33-1,X33)</f>
        <v>0.68</v>
      </c>
      <c r="AC33" s="20" t="s">
        <v>427</v>
      </c>
      <c r="AD33" s="28"/>
      <c r="AE33" s="27" t="s">
        <v>422</v>
      </c>
    </row>
    <row r="34" customFormat="false" ht="63.75" hidden="false" customHeight="true" outlineLevel="0" collapsed="false">
      <c r="A34" s="20" t="n">
        <v>30</v>
      </c>
      <c r="B34" s="20" t="s">
        <v>428</v>
      </c>
      <c r="C34" s="20" t="s">
        <v>429</v>
      </c>
      <c r="D34" s="20" t="s">
        <v>332</v>
      </c>
      <c r="E34" s="20" t="s">
        <v>129</v>
      </c>
      <c r="F34" s="20" t="s">
        <v>232</v>
      </c>
      <c r="G34" s="20" t="s">
        <v>43</v>
      </c>
      <c r="H34" s="20" t="s">
        <v>113</v>
      </c>
      <c r="I34" s="20" t="s">
        <v>272</v>
      </c>
      <c r="J34" s="20" t="s">
        <v>430</v>
      </c>
      <c r="K34" s="20" t="s">
        <v>116</v>
      </c>
      <c r="L34" s="20" t="s">
        <v>117</v>
      </c>
      <c r="M34" s="20" t="s">
        <v>209</v>
      </c>
      <c r="N34" s="21" t="s">
        <v>431</v>
      </c>
      <c r="O34" s="20" t="s">
        <v>432</v>
      </c>
      <c r="P34" s="20" t="s">
        <v>433</v>
      </c>
      <c r="Q34" s="20" t="s">
        <v>434</v>
      </c>
      <c r="R34" s="22" t="n">
        <v>3</v>
      </c>
      <c r="S34" s="22" t="n">
        <v>4</v>
      </c>
      <c r="T34" s="22" t="n">
        <v>2</v>
      </c>
      <c r="U34" s="22" t="n">
        <v>5</v>
      </c>
      <c r="V34" s="22" t="n">
        <v>5</v>
      </c>
      <c r="W34" s="22" t="n">
        <v>4</v>
      </c>
      <c r="X34" s="23" t="n">
        <f aca="false">ROUND((R34*Özet!$C$14+S34*Özet!$C$15+T34*Özet!$C$16+U34*Özet!$C$17+V34*Özet!$C$18+W34*Özet!$C$19)/5,4)</f>
        <v>0.68</v>
      </c>
      <c r="Y34" s="24" t="n">
        <f aca="false">RANK(AB34,$AB$5:$AB$47)+COUNTIF($AB$5:AB34,AB34)-1</f>
        <v>30</v>
      </c>
      <c r="Z34" s="25" t="str">
        <f aca="false">IF(K34="ESKİ / TAKİP","Takip – benzer ilanı bekle",IF(X34&gt;=0.8,"A – Hemen başvur",IF(X34&gt;=0.65,"B – Başvur","C – Opsiyonel")))</f>
        <v>B – Başvur</v>
      </c>
      <c r="AA34" s="20" t="s">
        <v>435</v>
      </c>
      <c r="AB34" s="26" t="n">
        <f aca="false">IF(K34="ESKİ / TAKİP",X34-1,X34)</f>
        <v>0.68</v>
      </c>
      <c r="AC34" s="20" t="s">
        <v>436</v>
      </c>
      <c r="AD34" s="28"/>
      <c r="AE34" s="27" t="s">
        <v>437</v>
      </c>
    </row>
    <row r="35" customFormat="false" ht="63.75" hidden="false" customHeight="true" outlineLevel="0" collapsed="false">
      <c r="A35" s="20" t="n">
        <v>31</v>
      </c>
      <c r="B35" s="20" t="s">
        <v>438</v>
      </c>
      <c r="C35" s="20" t="s">
        <v>439</v>
      </c>
      <c r="D35" s="20" t="s">
        <v>332</v>
      </c>
      <c r="E35" s="20" t="s">
        <v>129</v>
      </c>
      <c r="F35" s="20" t="s">
        <v>440</v>
      </c>
      <c r="G35" s="20" t="s">
        <v>43</v>
      </c>
      <c r="H35" s="20" t="s">
        <v>113</v>
      </c>
      <c r="I35" s="20" t="s">
        <v>272</v>
      </c>
      <c r="J35" s="20" t="s">
        <v>441</v>
      </c>
      <c r="K35" s="20" t="s">
        <v>116</v>
      </c>
      <c r="L35" s="20" t="s">
        <v>117</v>
      </c>
      <c r="M35" s="20" t="s">
        <v>209</v>
      </c>
      <c r="N35" s="21" t="s">
        <v>442</v>
      </c>
      <c r="O35" s="20" t="s">
        <v>443</v>
      </c>
      <c r="P35" s="20" t="s">
        <v>444</v>
      </c>
      <c r="Q35" s="20" t="s">
        <v>445</v>
      </c>
      <c r="R35" s="22" t="n">
        <v>3</v>
      </c>
      <c r="S35" s="22" t="n">
        <v>4</v>
      </c>
      <c r="T35" s="22" t="n">
        <v>2</v>
      </c>
      <c r="U35" s="22" t="n">
        <v>3</v>
      </c>
      <c r="V35" s="22" t="n">
        <v>5</v>
      </c>
      <c r="W35" s="22" t="n">
        <v>5</v>
      </c>
      <c r="X35" s="23" t="n">
        <f aca="false">ROUND((R35*Özet!$C$14+S35*Özet!$C$15+T35*Özet!$C$16+U35*Özet!$C$17+V35*Özet!$C$18+W35*Özet!$C$19)/5,4)</f>
        <v>0.68</v>
      </c>
      <c r="Y35" s="24" t="n">
        <f aca="false">RANK(AB35,$AB$5:$AB$47)+COUNTIF($AB$5:AB35,AB35)-1</f>
        <v>31</v>
      </c>
      <c r="Z35" s="25" t="str">
        <f aca="false">IF(K35="ESKİ / TAKİP","Takip – benzer ilanı bekle",IF(X35&gt;=0.8,"A – Hemen başvur",IF(X35&gt;=0.65,"B – Başvur","C – Opsiyonel")))</f>
        <v>B – Başvur</v>
      </c>
      <c r="AA35" s="20" t="s">
        <v>446</v>
      </c>
      <c r="AB35" s="26" t="n">
        <f aca="false">IF(K35="ESKİ / TAKİP",X35-1,X35)</f>
        <v>0.68</v>
      </c>
      <c r="AC35" s="20" t="s">
        <v>447</v>
      </c>
      <c r="AD35" s="28"/>
      <c r="AE35" s="27" t="s">
        <v>442</v>
      </c>
    </row>
    <row r="36" customFormat="false" ht="63.75" hidden="false" customHeight="true" outlineLevel="0" collapsed="false">
      <c r="A36" s="20" t="n">
        <v>32</v>
      </c>
      <c r="B36" s="20" t="s">
        <v>448</v>
      </c>
      <c r="C36" s="20" t="s">
        <v>449</v>
      </c>
      <c r="D36" s="20" t="s">
        <v>332</v>
      </c>
      <c r="E36" s="20" t="s">
        <v>129</v>
      </c>
      <c r="F36" s="20" t="s">
        <v>321</v>
      </c>
      <c r="G36" s="20" t="s">
        <v>43</v>
      </c>
      <c r="H36" s="20" t="s">
        <v>113</v>
      </c>
      <c r="I36" s="20" t="s">
        <v>114</v>
      </c>
      <c r="J36" s="20" t="s">
        <v>115</v>
      </c>
      <c r="K36" s="20" t="s">
        <v>116</v>
      </c>
      <c r="L36" s="20" t="s">
        <v>117</v>
      </c>
      <c r="M36" s="20" t="s">
        <v>118</v>
      </c>
      <c r="N36" s="21" t="s">
        <v>450</v>
      </c>
      <c r="O36" s="20" t="s">
        <v>451</v>
      </c>
      <c r="P36" s="20" t="s">
        <v>452</v>
      </c>
      <c r="Q36" s="20" t="s">
        <v>453</v>
      </c>
      <c r="R36" s="22" t="n">
        <v>4</v>
      </c>
      <c r="S36" s="22" t="n">
        <v>3</v>
      </c>
      <c r="T36" s="22" t="n">
        <v>2</v>
      </c>
      <c r="U36" s="22" t="n">
        <v>3</v>
      </c>
      <c r="V36" s="22" t="n">
        <v>5</v>
      </c>
      <c r="W36" s="22" t="n">
        <v>3</v>
      </c>
      <c r="X36" s="23" t="n">
        <f aca="false">ROUND((R36*Özet!$C$14+S36*Özet!$C$15+T36*Özet!$C$16+U36*Özet!$C$17+V36*Özet!$C$18+W36*Özet!$C$19)/5,4)</f>
        <v>0.67</v>
      </c>
      <c r="Y36" s="24" t="n">
        <f aca="false">RANK(AB36,$AB$5:$AB$47)+COUNTIF($AB$5:AB36,AB36)-1</f>
        <v>32</v>
      </c>
      <c r="Z36" s="25" t="str">
        <f aca="false">IF(K36="ESKİ / TAKİP","Takip – benzer ilanı bekle",IF(X36&gt;=0.8,"A – Hemen başvur",IF(X36&gt;=0.65,"B – Başvur","C – Opsiyonel")))</f>
        <v>B – Başvur</v>
      </c>
      <c r="AA36" s="20" t="s">
        <v>454</v>
      </c>
      <c r="AB36" s="26" t="n">
        <f aca="false">IF(K36="ESKİ / TAKİP",X36-1,X36)</f>
        <v>0.67</v>
      </c>
      <c r="AC36" s="20" t="s">
        <v>455</v>
      </c>
      <c r="AD36" s="28"/>
      <c r="AE36" s="27" t="s">
        <v>456</v>
      </c>
    </row>
    <row r="37" customFormat="false" ht="63.75" hidden="false" customHeight="true" outlineLevel="0" collapsed="false">
      <c r="A37" s="20" t="n">
        <v>33</v>
      </c>
      <c r="B37" s="20" t="s">
        <v>330</v>
      </c>
      <c r="C37" s="20" t="s">
        <v>457</v>
      </c>
      <c r="D37" s="20" t="s">
        <v>332</v>
      </c>
      <c r="E37" s="20" t="s">
        <v>129</v>
      </c>
      <c r="F37" s="20" t="s">
        <v>458</v>
      </c>
      <c r="G37" s="20" t="s">
        <v>43</v>
      </c>
      <c r="H37" s="20" t="s">
        <v>113</v>
      </c>
      <c r="I37" s="20" t="s">
        <v>181</v>
      </c>
      <c r="J37" s="20" t="s">
        <v>115</v>
      </c>
      <c r="K37" s="20" t="s">
        <v>116</v>
      </c>
      <c r="L37" s="20" t="s">
        <v>117</v>
      </c>
      <c r="M37" s="20" t="s">
        <v>118</v>
      </c>
      <c r="N37" s="21" t="s">
        <v>459</v>
      </c>
      <c r="O37" s="20" t="s">
        <v>460</v>
      </c>
      <c r="P37" s="20" t="s">
        <v>461</v>
      </c>
      <c r="Q37" s="20" t="s">
        <v>453</v>
      </c>
      <c r="R37" s="22" t="n">
        <v>4</v>
      </c>
      <c r="S37" s="22" t="n">
        <v>3</v>
      </c>
      <c r="T37" s="22" t="n">
        <v>2</v>
      </c>
      <c r="U37" s="22" t="n">
        <v>3</v>
      </c>
      <c r="V37" s="22" t="n">
        <v>5</v>
      </c>
      <c r="W37" s="22" t="n">
        <v>3</v>
      </c>
      <c r="X37" s="23" t="n">
        <f aca="false">ROUND((R37*Özet!$C$14+S37*Özet!$C$15+T37*Özet!$C$16+U37*Özet!$C$17+V37*Özet!$C$18+W37*Özet!$C$19)/5,4)</f>
        <v>0.67</v>
      </c>
      <c r="Y37" s="24" t="n">
        <f aca="false">RANK(AB37,$AB$5:$AB$47)+COUNTIF($AB$5:AB37,AB37)-1</f>
        <v>33</v>
      </c>
      <c r="Z37" s="25" t="str">
        <f aca="false">IF(K37="ESKİ / TAKİP","Takip – benzer ilanı bekle",IF(X37&gt;=0.8,"A – Hemen başvur",IF(X37&gt;=0.65,"B – Başvur","C – Opsiyonel")))</f>
        <v>B – Başvur</v>
      </c>
      <c r="AA37" s="20" t="s">
        <v>158</v>
      </c>
      <c r="AB37" s="26" t="n">
        <f aca="false">IF(K37="ESKİ / TAKİP",X37-1,X37)</f>
        <v>0.67</v>
      </c>
      <c r="AC37" s="20" t="s">
        <v>462</v>
      </c>
      <c r="AD37" s="21" t="s">
        <v>339</v>
      </c>
      <c r="AE37" s="27" t="s">
        <v>339</v>
      </c>
    </row>
    <row r="38" customFormat="false" ht="63.75" hidden="false" customHeight="true" outlineLevel="0" collapsed="false">
      <c r="A38" s="20" t="n">
        <v>34</v>
      </c>
      <c r="B38" s="20" t="s">
        <v>463</v>
      </c>
      <c r="C38" s="20" t="s">
        <v>464</v>
      </c>
      <c r="D38" s="20" t="s">
        <v>465</v>
      </c>
      <c r="E38" s="20" t="s">
        <v>466</v>
      </c>
      <c r="F38" s="20" t="s">
        <v>321</v>
      </c>
      <c r="G38" s="20" t="s">
        <v>41</v>
      </c>
      <c r="H38" s="20" t="s">
        <v>113</v>
      </c>
      <c r="I38" s="20" t="s">
        <v>272</v>
      </c>
      <c r="J38" s="20" t="s">
        <v>115</v>
      </c>
      <c r="K38" s="20" t="s">
        <v>116</v>
      </c>
      <c r="L38" s="20" t="s">
        <v>117</v>
      </c>
      <c r="M38" s="20" t="s">
        <v>118</v>
      </c>
      <c r="N38" s="21" t="s">
        <v>467</v>
      </c>
      <c r="O38" s="20" t="s">
        <v>468</v>
      </c>
      <c r="P38" s="20" t="s">
        <v>469</v>
      </c>
      <c r="Q38" s="20" t="s">
        <v>470</v>
      </c>
      <c r="R38" s="22" t="n">
        <v>4</v>
      </c>
      <c r="S38" s="22" t="n">
        <v>3</v>
      </c>
      <c r="T38" s="22" t="n">
        <v>3</v>
      </c>
      <c r="U38" s="22" t="n">
        <v>4</v>
      </c>
      <c r="V38" s="22" t="n">
        <v>2</v>
      </c>
      <c r="W38" s="22" t="n">
        <v>3</v>
      </c>
      <c r="X38" s="23" t="n">
        <f aca="false">ROUND((R38*Özet!$C$14+S38*Özet!$C$15+T38*Özet!$C$16+U38*Özet!$C$17+V38*Özet!$C$18+W38*Özet!$C$19)/5,4)</f>
        <v>0.66</v>
      </c>
      <c r="Y38" s="24" t="n">
        <f aca="false">RANK(AB38,$AB$5:$AB$47)+COUNTIF($AB$5:AB38,AB38)-1</f>
        <v>34</v>
      </c>
      <c r="Z38" s="25" t="str">
        <f aca="false">IF(K38="ESKİ / TAKİP","Takip – benzer ilanı bekle",IF(X38&gt;=0.8,"A – Hemen başvur",IF(X38&gt;=0.65,"B – Başvur","C – Opsiyonel")))</f>
        <v>B – Başvur</v>
      </c>
      <c r="AA38" s="20" t="s">
        <v>454</v>
      </c>
      <c r="AB38" s="26" t="n">
        <f aca="false">IF(K38="ESKİ / TAKİP",X38-1,X38)</f>
        <v>0.66</v>
      </c>
      <c r="AC38" s="20" t="s">
        <v>471</v>
      </c>
      <c r="AD38" s="28"/>
      <c r="AE38" s="27" t="s">
        <v>472</v>
      </c>
    </row>
    <row r="39" customFormat="false" ht="63.75" hidden="false" customHeight="true" outlineLevel="0" collapsed="false">
      <c r="A39" s="20" t="n">
        <v>35</v>
      </c>
      <c r="B39" s="20" t="s">
        <v>473</v>
      </c>
      <c r="C39" s="20" t="s">
        <v>474</v>
      </c>
      <c r="D39" s="20" t="s">
        <v>332</v>
      </c>
      <c r="E39" s="20" t="s">
        <v>129</v>
      </c>
      <c r="F39" s="20" t="s">
        <v>409</v>
      </c>
      <c r="G39" s="20" t="s">
        <v>43</v>
      </c>
      <c r="H39" s="20" t="s">
        <v>113</v>
      </c>
      <c r="I39" s="20" t="s">
        <v>114</v>
      </c>
      <c r="J39" s="20" t="s">
        <v>475</v>
      </c>
      <c r="K39" s="20" t="s">
        <v>116</v>
      </c>
      <c r="L39" s="20" t="s">
        <v>476</v>
      </c>
      <c r="M39" s="20" t="s">
        <v>118</v>
      </c>
      <c r="N39" s="21" t="s">
        <v>477</v>
      </c>
      <c r="O39" s="20" t="s">
        <v>478</v>
      </c>
      <c r="P39" s="20" t="s">
        <v>479</v>
      </c>
      <c r="Q39" s="20" t="s">
        <v>480</v>
      </c>
      <c r="R39" s="22" t="n">
        <v>3</v>
      </c>
      <c r="S39" s="22" t="n">
        <v>4</v>
      </c>
      <c r="T39" s="22" t="n">
        <v>2</v>
      </c>
      <c r="U39" s="22" t="n">
        <v>3</v>
      </c>
      <c r="V39" s="22" t="n">
        <v>5</v>
      </c>
      <c r="W39" s="22" t="n">
        <v>4</v>
      </c>
      <c r="X39" s="23" t="n">
        <f aca="false">ROUND((R39*Özet!$C$14+S39*Özet!$C$15+T39*Özet!$C$16+U39*Özet!$C$17+V39*Özet!$C$18+W39*Özet!$C$19)/5,4)</f>
        <v>0.66</v>
      </c>
      <c r="Y39" s="24" t="n">
        <f aca="false">RANK(AB39,$AB$5:$AB$47)+COUNTIF($AB$5:AB39,AB39)-1</f>
        <v>35</v>
      </c>
      <c r="Z39" s="25" t="str">
        <f aca="false">IF(K39="ESKİ / TAKİP","Takip – benzer ilanı bekle",IF(X39&gt;=0.8,"A – Hemen başvur",IF(X39&gt;=0.65,"B – Başvur","C – Opsiyonel")))</f>
        <v>B – Başvur</v>
      </c>
      <c r="AA39" s="20" t="s">
        <v>454</v>
      </c>
      <c r="AB39" s="26" t="n">
        <f aca="false">IF(K39="ESKİ / TAKİP",X39-1,X39)</f>
        <v>0.66</v>
      </c>
      <c r="AC39" s="20" t="s">
        <v>481</v>
      </c>
      <c r="AD39" s="21" t="s">
        <v>482</v>
      </c>
      <c r="AE39" s="27" t="s">
        <v>483</v>
      </c>
    </row>
    <row r="40" customFormat="false" ht="63.75" hidden="false" customHeight="true" outlineLevel="0" collapsed="false">
      <c r="A40" s="20" t="n">
        <v>36</v>
      </c>
      <c r="B40" s="20" t="s">
        <v>484</v>
      </c>
      <c r="C40" s="20" t="s">
        <v>485</v>
      </c>
      <c r="D40" s="20" t="s">
        <v>397</v>
      </c>
      <c r="E40" s="20" t="s">
        <v>398</v>
      </c>
      <c r="F40" s="20" t="s">
        <v>321</v>
      </c>
      <c r="G40" s="20" t="s">
        <v>43</v>
      </c>
      <c r="H40" s="20" t="s">
        <v>113</v>
      </c>
      <c r="I40" s="20" t="s">
        <v>181</v>
      </c>
      <c r="J40" s="20" t="s">
        <v>115</v>
      </c>
      <c r="K40" s="20" t="s">
        <v>116</v>
      </c>
      <c r="L40" s="20" t="s">
        <v>117</v>
      </c>
      <c r="M40" s="20" t="s">
        <v>118</v>
      </c>
      <c r="N40" s="21" t="s">
        <v>486</v>
      </c>
      <c r="O40" s="20" t="s">
        <v>487</v>
      </c>
      <c r="P40" s="20" t="s">
        <v>488</v>
      </c>
      <c r="Q40" s="20" t="s">
        <v>453</v>
      </c>
      <c r="R40" s="22" t="n">
        <v>4</v>
      </c>
      <c r="S40" s="22" t="n">
        <v>3</v>
      </c>
      <c r="T40" s="22" t="n">
        <v>2</v>
      </c>
      <c r="U40" s="22" t="n">
        <v>3</v>
      </c>
      <c r="V40" s="22" t="n">
        <v>4</v>
      </c>
      <c r="W40" s="22" t="n">
        <v>3</v>
      </c>
      <c r="X40" s="23" t="n">
        <f aca="false">ROUND((R40*Özet!$C$14+S40*Özet!$C$15+T40*Özet!$C$16+U40*Özet!$C$17+V40*Özet!$C$18+W40*Özet!$C$19)/5,4)</f>
        <v>0.65</v>
      </c>
      <c r="Y40" s="24" t="n">
        <f aca="false">RANK(AB40,$AB$5:$AB$47)+COUNTIF($AB$5:AB40,AB40)-1</f>
        <v>36</v>
      </c>
      <c r="Z40" s="25" t="str">
        <f aca="false">IF(K40="ESKİ / TAKİP","Takip – benzer ilanı bekle",IF(X40&gt;=0.8,"A – Hemen başvur",IF(X40&gt;=0.65,"B – Başvur","C – Opsiyonel")))</f>
        <v>B – Başvur</v>
      </c>
      <c r="AA40" s="20" t="s">
        <v>404</v>
      </c>
      <c r="AB40" s="26" t="n">
        <f aca="false">IF(K40="ESKİ / TAKİP",X40-1,X40)</f>
        <v>0.65</v>
      </c>
      <c r="AC40" s="20" t="s">
        <v>489</v>
      </c>
      <c r="AD40" s="28"/>
      <c r="AE40" s="27" t="s">
        <v>406</v>
      </c>
    </row>
    <row r="41" customFormat="false" ht="63.75" hidden="false" customHeight="true" outlineLevel="0" collapsed="false">
      <c r="A41" s="20" t="n">
        <v>37</v>
      </c>
      <c r="B41" s="20" t="s">
        <v>490</v>
      </c>
      <c r="C41" s="20" t="s">
        <v>491</v>
      </c>
      <c r="D41" s="20" t="s">
        <v>492</v>
      </c>
      <c r="E41" s="20" t="s">
        <v>129</v>
      </c>
      <c r="F41" s="20" t="s">
        <v>493</v>
      </c>
      <c r="G41" s="20" t="s">
        <v>43</v>
      </c>
      <c r="H41" s="20" t="s">
        <v>113</v>
      </c>
      <c r="I41" s="20" t="s">
        <v>181</v>
      </c>
      <c r="J41" s="20" t="s">
        <v>494</v>
      </c>
      <c r="K41" s="20" t="s">
        <v>116</v>
      </c>
      <c r="L41" s="20" t="s">
        <v>117</v>
      </c>
      <c r="M41" s="20" t="s">
        <v>118</v>
      </c>
      <c r="N41" s="21" t="s">
        <v>495</v>
      </c>
      <c r="O41" s="20" t="s">
        <v>496</v>
      </c>
      <c r="P41" s="20" t="s">
        <v>497</v>
      </c>
      <c r="Q41" s="20" t="s">
        <v>498</v>
      </c>
      <c r="R41" s="22" t="n">
        <v>3</v>
      </c>
      <c r="S41" s="22" t="n">
        <v>3</v>
      </c>
      <c r="T41" s="22" t="n">
        <v>2</v>
      </c>
      <c r="U41" s="22" t="n">
        <v>4</v>
      </c>
      <c r="V41" s="22" t="n">
        <v>4</v>
      </c>
      <c r="W41" s="22" t="n">
        <v>5</v>
      </c>
      <c r="X41" s="23" t="n">
        <f aca="false">ROUND((R41*Özet!$C$14+S41*Özet!$C$15+T41*Özet!$C$16+U41*Özet!$C$17+V41*Özet!$C$18+W41*Özet!$C$19)/5,4)</f>
        <v>0.63</v>
      </c>
      <c r="Y41" s="24" t="n">
        <f aca="false">RANK(AB41,$AB$5:$AB$47)+COUNTIF($AB$5:AB41,AB41)-1</f>
        <v>37</v>
      </c>
      <c r="Z41" s="25" t="str">
        <f aca="false">IF(K41="ESKİ / TAKİP","Takip – benzer ilanı bekle",IF(X41&gt;=0.8,"A – Hemen başvur",IF(X41&gt;=0.65,"B – Başvur","C – Opsiyonel")))</f>
        <v>C – Opsiyonel</v>
      </c>
      <c r="AA41" s="20" t="s">
        <v>454</v>
      </c>
      <c r="AB41" s="26" t="n">
        <f aca="false">IF(K41="ESKİ / TAKİP",X41-1,X41)</f>
        <v>0.63</v>
      </c>
      <c r="AC41" s="20" t="s">
        <v>499</v>
      </c>
      <c r="AD41" s="28"/>
      <c r="AE41" s="27" t="s">
        <v>495</v>
      </c>
    </row>
    <row r="42" customFormat="false" ht="63.75" hidden="false" customHeight="true" outlineLevel="0" collapsed="false">
      <c r="A42" s="20" t="n">
        <v>38</v>
      </c>
      <c r="B42" s="20" t="s">
        <v>330</v>
      </c>
      <c r="C42" s="20" t="s">
        <v>500</v>
      </c>
      <c r="D42" s="20" t="s">
        <v>332</v>
      </c>
      <c r="E42" s="20" t="s">
        <v>129</v>
      </c>
      <c r="F42" s="20" t="s">
        <v>399</v>
      </c>
      <c r="G42" s="20" t="s">
        <v>43</v>
      </c>
      <c r="H42" s="20" t="s">
        <v>113</v>
      </c>
      <c r="I42" s="20" t="s">
        <v>272</v>
      </c>
      <c r="J42" s="20" t="s">
        <v>115</v>
      </c>
      <c r="K42" s="20" t="s">
        <v>116</v>
      </c>
      <c r="L42" s="20" t="s">
        <v>117</v>
      </c>
      <c r="M42" s="20" t="s">
        <v>118</v>
      </c>
      <c r="N42" s="21" t="s">
        <v>501</v>
      </c>
      <c r="O42" s="20" t="s">
        <v>502</v>
      </c>
      <c r="P42" s="20" t="s">
        <v>503</v>
      </c>
      <c r="Q42" s="20" t="s">
        <v>504</v>
      </c>
      <c r="R42" s="22" t="n">
        <v>3</v>
      </c>
      <c r="S42" s="22" t="n">
        <v>3</v>
      </c>
      <c r="T42" s="22" t="n">
        <v>2</v>
      </c>
      <c r="U42" s="22" t="n">
        <v>3</v>
      </c>
      <c r="V42" s="22" t="n">
        <v>5</v>
      </c>
      <c r="W42" s="22" t="n">
        <v>4</v>
      </c>
      <c r="X42" s="23" t="n">
        <f aca="false">ROUND((R42*Özet!$C$14+S42*Özet!$C$15+T42*Özet!$C$16+U42*Özet!$C$17+V42*Özet!$C$18+W42*Özet!$C$19)/5,4)</f>
        <v>0.62</v>
      </c>
      <c r="Y42" s="24" t="n">
        <f aca="false">RANK(AB42,$AB$5:$AB$47)+COUNTIF($AB$5:AB42,AB42)-1</f>
        <v>38</v>
      </c>
      <c r="Z42" s="25" t="str">
        <f aca="false">IF(K42="ESKİ / TAKİP","Takip – benzer ilanı bekle",IF(X42&gt;=0.8,"A – Hemen başvur",IF(X42&gt;=0.65,"B – Başvur","C – Opsiyonel")))</f>
        <v>C – Opsiyonel</v>
      </c>
      <c r="AA42" s="20" t="s">
        <v>454</v>
      </c>
      <c r="AB42" s="26" t="n">
        <f aca="false">IF(K42="ESKİ / TAKİP",X42-1,X42)</f>
        <v>0.62</v>
      </c>
      <c r="AC42" s="20" t="s">
        <v>462</v>
      </c>
      <c r="AD42" s="21" t="s">
        <v>339</v>
      </c>
      <c r="AE42" s="27" t="s">
        <v>339</v>
      </c>
    </row>
    <row r="43" customFormat="false" ht="63.75" hidden="false" customHeight="true" outlineLevel="0" collapsed="false">
      <c r="A43" s="20" t="n">
        <v>39</v>
      </c>
      <c r="B43" s="20" t="s">
        <v>505</v>
      </c>
      <c r="C43" s="20" t="s">
        <v>506</v>
      </c>
      <c r="D43" s="20" t="s">
        <v>332</v>
      </c>
      <c r="E43" s="20" t="s">
        <v>129</v>
      </c>
      <c r="F43" s="20" t="s">
        <v>507</v>
      </c>
      <c r="G43" s="20" t="s">
        <v>43</v>
      </c>
      <c r="H43" s="20" t="s">
        <v>113</v>
      </c>
      <c r="I43" s="20" t="s">
        <v>181</v>
      </c>
      <c r="J43" s="20" t="s">
        <v>508</v>
      </c>
      <c r="K43" s="20" t="s">
        <v>116</v>
      </c>
      <c r="L43" s="20" t="s">
        <v>509</v>
      </c>
      <c r="M43" s="20" t="s">
        <v>118</v>
      </c>
      <c r="N43" s="21" t="s">
        <v>510</v>
      </c>
      <c r="O43" s="20" t="s">
        <v>511</v>
      </c>
      <c r="P43" s="20" t="s">
        <v>512</v>
      </c>
      <c r="Q43" s="20" t="s">
        <v>513</v>
      </c>
      <c r="R43" s="22" t="n">
        <v>3</v>
      </c>
      <c r="S43" s="22" t="n">
        <v>3</v>
      </c>
      <c r="T43" s="22" t="n">
        <v>2</v>
      </c>
      <c r="U43" s="22" t="n">
        <v>5</v>
      </c>
      <c r="V43" s="22" t="n">
        <v>5</v>
      </c>
      <c r="W43" s="22" t="n">
        <v>3</v>
      </c>
      <c r="X43" s="23" t="n">
        <f aca="false">ROUND((R43*Özet!$C$14+S43*Özet!$C$15+T43*Özet!$C$16+U43*Özet!$C$17+V43*Özet!$C$18+W43*Özet!$C$19)/5,4)</f>
        <v>0.62</v>
      </c>
      <c r="Y43" s="24" t="n">
        <f aca="false">RANK(AB43,$AB$5:$AB$47)+COUNTIF($AB$5:AB43,AB43)-1</f>
        <v>39</v>
      </c>
      <c r="Z43" s="25" t="str">
        <f aca="false">IF(K43="ESKİ / TAKİP","Takip – benzer ilanı bekle",IF(X43&gt;=0.8,"A – Hemen başvur",IF(X43&gt;=0.65,"B – Başvur","C – Opsiyonel")))</f>
        <v>C – Opsiyonel</v>
      </c>
      <c r="AA43" s="20" t="s">
        <v>158</v>
      </c>
      <c r="AB43" s="26" t="n">
        <f aca="false">IF(K43="ESKİ / TAKİP",X43-1,X43)</f>
        <v>0.62</v>
      </c>
      <c r="AC43" s="20" t="s">
        <v>514</v>
      </c>
      <c r="AD43" s="21" t="s">
        <v>515</v>
      </c>
      <c r="AE43" s="27" t="s">
        <v>516</v>
      </c>
    </row>
    <row r="44" customFormat="false" ht="63.75" hidden="false" customHeight="true" outlineLevel="0" collapsed="false">
      <c r="A44" s="20" t="n">
        <v>40</v>
      </c>
      <c r="B44" s="20" t="s">
        <v>517</v>
      </c>
      <c r="C44" s="20" t="s">
        <v>518</v>
      </c>
      <c r="D44" s="20" t="s">
        <v>332</v>
      </c>
      <c r="E44" s="20" t="s">
        <v>129</v>
      </c>
      <c r="F44" s="20" t="s">
        <v>519</v>
      </c>
      <c r="G44" s="20" t="s">
        <v>43</v>
      </c>
      <c r="H44" s="20" t="s">
        <v>113</v>
      </c>
      <c r="I44" s="20" t="s">
        <v>114</v>
      </c>
      <c r="J44" s="20" t="s">
        <v>520</v>
      </c>
      <c r="K44" s="20" t="s">
        <v>116</v>
      </c>
      <c r="L44" s="20" t="s">
        <v>117</v>
      </c>
      <c r="M44" s="20" t="s">
        <v>209</v>
      </c>
      <c r="N44" s="21" t="s">
        <v>521</v>
      </c>
      <c r="O44" s="20" t="s">
        <v>522</v>
      </c>
      <c r="P44" s="20" t="s">
        <v>523</v>
      </c>
      <c r="Q44" s="20" t="s">
        <v>524</v>
      </c>
      <c r="R44" s="22" t="n">
        <v>3</v>
      </c>
      <c r="S44" s="22" t="n">
        <v>3</v>
      </c>
      <c r="T44" s="22" t="n">
        <v>2</v>
      </c>
      <c r="U44" s="22" t="n">
        <v>3</v>
      </c>
      <c r="V44" s="22" t="n">
        <v>5</v>
      </c>
      <c r="W44" s="22" t="n">
        <v>4</v>
      </c>
      <c r="X44" s="23" t="n">
        <f aca="false">ROUND((R44*Özet!$C$14+S44*Özet!$C$15+T44*Özet!$C$16+U44*Özet!$C$17+V44*Özet!$C$18+W44*Özet!$C$19)/5,4)</f>
        <v>0.62</v>
      </c>
      <c r="Y44" s="24" t="n">
        <f aca="false">RANK(AB44,$AB$5:$AB$47)+COUNTIF($AB$5:AB44,AB44)-1</f>
        <v>40</v>
      </c>
      <c r="Z44" s="25" t="str">
        <f aca="false">IF(K44="ESKİ / TAKİP","Takip – benzer ilanı bekle",IF(X44&gt;=0.8,"A – Hemen başvur",IF(X44&gt;=0.65,"B – Başvur","C – Opsiyonel")))</f>
        <v>C – Opsiyonel</v>
      </c>
      <c r="AA44" s="20" t="s">
        <v>454</v>
      </c>
      <c r="AB44" s="26" t="n">
        <f aca="false">IF(K44="ESKİ / TAKİP",X44-1,X44)</f>
        <v>0.62</v>
      </c>
      <c r="AC44" s="20" t="s">
        <v>525</v>
      </c>
      <c r="AD44" s="28"/>
      <c r="AE44" s="27" t="s">
        <v>521</v>
      </c>
    </row>
    <row r="45" customFormat="false" ht="63.75" hidden="false" customHeight="true" outlineLevel="0" collapsed="false">
      <c r="A45" s="20" t="n">
        <v>41</v>
      </c>
      <c r="B45" s="20" t="s">
        <v>526</v>
      </c>
      <c r="C45" s="20" t="s">
        <v>527</v>
      </c>
      <c r="D45" s="20" t="s">
        <v>332</v>
      </c>
      <c r="E45" s="20" t="s">
        <v>129</v>
      </c>
      <c r="F45" s="20" t="s">
        <v>528</v>
      </c>
      <c r="G45" s="20" t="s">
        <v>43</v>
      </c>
      <c r="H45" s="20" t="s">
        <v>113</v>
      </c>
      <c r="I45" s="20" t="s">
        <v>181</v>
      </c>
      <c r="J45" s="20" t="s">
        <v>529</v>
      </c>
      <c r="K45" s="20" t="s">
        <v>116</v>
      </c>
      <c r="L45" s="20" t="s">
        <v>530</v>
      </c>
      <c r="M45" s="20" t="s">
        <v>209</v>
      </c>
      <c r="N45" s="21" t="s">
        <v>531</v>
      </c>
      <c r="O45" s="20" t="s">
        <v>532</v>
      </c>
      <c r="P45" s="20" t="s">
        <v>533</v>
      </c>
      <c r="Q45" s="20" t="s">
        <v>534</v>
      </c>
      <c r="R45" s="22" t="n">
        <v>3</v>
      </c>
      <c r="S45" s="22" t="n">
        <v>3</v>
      </c>
      <c r="T45" s="22" t="n">
        <v>2</v>
      </c>
      <c r="U45" s="22" t="n">
        <v>3</v>
      </c>
      <c r="V45" s="22" t="n">
        <v>5</v>
      </c>
      <c r="W45" s="22" t="n">
        <v>3</v>
      </c>
      <c r="X45" s="23" t="n">
        <f aca="false">ROUND((R45*Özet!$C$14+S45*Özet!$C$15+T45*Özet!$C$16+U45*Özet!$C$17+V45*Özet!$C$18+W45*Özet!$C$19)/5,4)</f>
        <v>0.6</v>
      </c>
      <c r="Y45" s="24" t="n">
        <f aca="false">RANK(AB45,$AB$5:$AB$47)+COUNTIF($AB$5:AB45,AB45)-1</f>
        <v>41</v>
      </c>
      <c r="Z45" s="25" t="str">
        <f aca="false">IF(K45="ESKİ / TAKİP","Takip – benzer ilanı bekle",IF(X45&gt;=0.8,"A – Hemen başvur",IF(X45&gt;=0.65,"B – Başvur","C – Opsiyonel")))</f>
        <v>C – Opsiyonel</v>
      </c>
      <c r="AA45" s="20" t="s">
        <v>535</v>
      </c>
      <c r="AB45" s="26" t="n">
        <f aca="false">IF(K45="ESKİ / TAKİP",X45-1,X45)</f>
        <v>0.6</v>
      </c>
      <c r="AC45" s="20" t="s">
        <v>536</v>
      </c>
      <c r="AD45" s="28"/>
      <c r="AE45" s="27" t="s">
        <v>531</v>
      </c>
    </row>
    <row r="46" customFormat="false" ht="63.75" hidden="false" customHeight="true" outlineLevel="0" collapsed="false">
      <c r="A46" s="20" t="n">
        <v>42</v>
      </c>
      <c r="B46" s="20" t="s">
        <v>537</v>
      </c>
      <c r="C46" s="20" t="s">
        <v>538</v>
      </c>
      <c r="D46" s="20" t="s">
        <v>332</v>
      </c>
      <c r="E46" s="20" t="s">
        <v>129</v>
      </c>
      <c r="F46" s="20" t="s">
        <v>539</v>
      </c>
      <c r="G46" s="20" t="s">
        <v>43</v>
      </c>
      <c r="H46" s="20" t="s">
        <v>113</v>
      </c>
      <c r="I46" s="20" t="s">
        <v>181</v>
      </c>
      <c r="J46" s="20" t="s">
        <v>540</v>
      </c>
      <c r="K46" s="20" t="s">
        <v>116</v>
      </c>
      <c r="L46" s="20" t="s">
        <v>117</v>
      </c>
      <c r="M46" s="20" t="s">
        <v>118</v>
      </c>
      <c r="N46" s="21" t="s">
        <v>541</v>
      </c>
      <c r="O46" s="20" t="s">
        <v>542</v>
      </c>
      <c r="P46" s="20" t="s">
        <v>543</v>
      </c>
      <c r="Q46" s="20" t="s">
        <v>480</v>
      </c>
      <c r="R46" s="22" t="n">
        <v>3</v>
      </c>
      <c r="S46" s="22" t="n">
        <v>3</v>
      </c>
      <c r="T46" s="22" t="n">
        <v>2</v>
      </c>
      <c r="U46" s="22" t="n">
        <v>3</v>
      </c>
      <c r="V46" s="22" t="n">
        <v>5</v>
      </c>
      <c r="W46" s="22" t="n">
        <v>3</v>
      </c>
      <c r="X46" s="23" t="n">
        <f aca="false">ROUND((R46*Özet!$C$14+S46*Özet!$C$15+T46*Özet!$C$16+U46*Özet!$C$17+V46*Özet!$C$18+W46*Özet!$C$19)/5,4)</f>
        <v>0.6</v>
      </c>
      <c r="Y46" s="24" t="n">
        <f aca="false">RANK(AB46,$AB$5:$AB$47)+COUNTIF($AB$5:AB46,AB46)-1</f>
        <v>42</v>
      </c>
      <c r="Z46" s="25" t="str">
        <f aca="false">IF(K46="ESKİ / TAKİP","Takip – benzer ilanı bekle",IF(X46&gt;=0.8,"A – Hemen başvur",IF(X46&gt;=0.65,"B – Başvur","C – Opsiyonel")))</f>
        <v>C – Opsiyonel</v>
      </c>
      <c r="AA46" s="20" t="s">
        <v>454</v>
      </c>
      <c r="AB46" s="26" t="n">
        <f aca="false">IF(K46="ESKİ / TAKİP",X46-1,X46)</f>
        <v>0.6</v>
      </c>
      <c r="AC46" s="20" t="s">
        <v>544</v>
      </c>
      <c r="AD46" s="28"/>
      <c r="AE46" s="27" t="s">
        <v>521</v>
      </c>
    </row>
    <row r="47" customFormat="false" ht="63.75" hidden="false" customHeight="true" outlineLevel="0" collapsed="false">
      <c r="A47" s="20" t="n">
        <v>43</v>
      </c>
      <c r="B47" s="20" t="s">
        <v>189</v>
      </c>
      <c r="C47" s="20" t="s">
        <v>545</v>
      </c>
      <c r="D47" s="20" t="s">
        <v>546</v>
      </c>
      <c r="E47" s="20" t="s">
        <v>129</v>
      </c>
      <c r="F47" s="20" t="s">
        <v>547</v>
      </c>
      <c r="G47" s="20" t="s">
        <v>43</v>
      </c>
      <c r="H47" s="20" t="s">
        <v>113</v>
      </c>
      <c r="I47" s="20" t="s">
        <v>114</v>
      </c>
      <c r="J47" s="20" t="s">
        <v>548</v>
      </c>
      <c r="K47" s="20" t="s">
        <v>116</v>
      </c>
      <c r="L47" s="20" t="s">
        <v>117</v>
      </c>
      <c r="M47" s="20" t="s">
        <v>118</v>
      </c>
      <c r="N47" s="21" t="s">
        <v>549</v>
      </c>
      <c r="O47" s="20" t="s">
        <v>550</v>
      </c>
      <c r="P47" s="20" t="s">
        <v>551</v>
      </c>
      <c r="Q47" s="20" t="s">
        <v>552</v>
      </c>
      <c r="R47" s="22" t="n">
        <v>2</v>
      </c>
      <c r="S47" s="22" t="n">
        <v>3</v>
      </c>
      <c r="T47" s="22" t="n">
        <v>2</v>
      </c>
      <c r="U47" s="22" t="n">
        <v>3</v>
      </c>
      <c r="V47" s="22" t="n">
        <v>5</v>
      </c>
      <c r="W47" s="22" t="n">
        <v>5</v>
      </c>
      <c r="X47" s="23" t="n">
        <f aca="false">ROUND((R47*Özet!$C$14+S47*Özet!$C$15+T47*Özet!$C$16+U47*Özet!$C$17+V47*Özet!$C$18+W47*Özet!$C$19)/5,4)</f>
        <v>0.57</v>
      </c>
      <c r="Y47" s="24" t="n">
        <f aca="false">RANK(AB47,$AB$5:$AB$47)+COUNTIF($AB$5:AB47,AB47)-1</f>
        <v>43</v>
      </c>
      <c r="Z47" s="25" t="str">
        <f aca="false">IF(K47="ESKİ / TAKİP","Takip – benzer ilanı bekle",IF(X47&gt;=0.8,"A – Hemen başvur",IF(X47&gt;=0.65,"B – Başvur","C – Opsiyonel")))</f>
        <v>C – Opsiyonel</v>
      </c>
      <c r="AA47" s="20" t="s">
        <v>553</v>
      </c>
      <c r="AB47" s="26" t="n">
        <f aca="false">IF(K47="ESKİ / TAKİP",X47-1,X47)</f>
        <v>0.57</v>
      </c>
      <c r="AC47" s="20" t="s">
        <v>554</v>
      </c>
      <c r="AD47" s="28"/>
      <c r="AE47" s="27" t="s">
        <v>201</v>
      </c>
    </row>
  </sheetData>
  <autoFilter ref="A4:AE47"/>
  <mergeCells count="1">
    <mergeCell ref="R3:W3"/>
  </mergeCells>
  <conditionalFormatting sqref="X5:X47">
    <cfRule type="colorScale" priority="2">
      <colorScale>
        <cfvo type="num" val="0.5"/>
        <cfvo type="num" val="0.7"/>
        <cfvo type="num" val="0.9"/>
        <color rgb="FFF8696B"/>
        <color rgb="FFFFEB84"/>
        <color rgb="FF63BE7B"/>
      </colorScale>
    </cfRule>
  </conditionalFormatting>
  <conditionalFormatting sqref="Z5:Z47">
    <cfRule type="expression" priority="3" aboveAverage="0" equalAverage="0" bottom="0" percent="0" rank="0" text="" dxfId="33">
      <formula>LEFT(Z5,1)="A"</formula>
    </cfRule>
    <cfRule type="expression" priority="4" aboveAverage="0" equalAverage="0" bottom="0" percent="0" rank="0" text="" dxfId="34">
      <formula>LEFT(Z5,1)="B"</formula>
    </cfRule>
    <cfRule type="expression" priority="5" aboveAverage="0" equalAverage="0" bottom="0" percent="0" rank="0" text="" dxfId="35">
      <formula>LEFT(Z5,1)="C"</formula>
    </cfRule>
    <cfRule type="expression" priority="6" aboveAverage="0" equalAverage="0" bottom="0" percent="0" rank="0" text="" dxfId="36">
      <formula>LEFT(Z5,1)="T"</formula>
    </cfRule>
  </conditionalFormatting>
  <conditionalFormatting sqref="G5:G47">
    <cfRule type="expression" priority="7" aboveAverage="0" equalAverage="0" bottom="0" percent="0" rank="0" text="" dxfId="37">
      <formula>G5="EN"</formula>
    </cfRule>
    <cfRule type="expression" priority="8" aboveAverage="0" equalAverage="0" bottom="0" percent="0" rank="0" text="" dxfId="33">
      <formula>G5="EN+DE"</formula>
    </cfRule>
    <cfRule type="expression" priority="9" aboveAverage="0" equalAverage="0" bottom="0" percent="0" rank="0" text="" dxfId="38">
      <formula>G5="DE"</formula>
    </cfRule>
    <cfRule type="expression" priority="10" aboveAverage="0" equalAverage="0" bottom="0" percent="0" rank="0" text="" dxfId="39">
      <formula>G5="DE C1"</formula>
    </cfRule>
  </conditionalFormatting>
  <conditionalFormatting sqref="K5:K47">
    <cfRule type="expression" priority="11" aboveAverage="0" equalAverage="0" bottom="0" percent="0" rank="0" text="" dxfId="33">
      <formula>LEFT(K5,6)="GÜNCEL"</formula>
    </cfRule>
    <cfRule type="expression" priority="12" aboveAverage="0" equalAverage="0" bottom="0" percent="0" rank="0" text="" dxfId="40">
      <formula>LEFT(K5,4)="AÇIK"</formula>
    </cfRule>
    <cfRule type="expression" priority="13" aboveAverage="0" equalAverage="0" bottom="0" percent="0" rank="0" text="" dxfId="41">
      <formula>K5="ESKİ / TAKİP"</formula>
    </cfRule>
  </conditionalFormatting>
  <hyperlinks>
    <hyperlink ref="N5" r:id="rId2" display="https://www.palfinger.com/en-mx/career/jobs/infrastructure-operations-manager-m/f/d_k_876428"/>
    <hyperlink ref="AD5" r:id="rId3" display="https://jobs.palfinger.com/en-us"/>
    <hyperlink ref="AE5" r:id="rId4" display="https://jobs.palfinger.com/en-us"/>
    <hyperlink ref="N6" r:id="rId5" display="https://www.wuestenrot.at/de/ueber-uns/karriere/offene-stellen/information-security-manager-in-m-w-d.html"/>
    <hyperlink ref="AE6" r:id="rId6" display="https://www.wuestenrot.at/de/ueber-uns/karriere/offene-stellen.html"/>
    <hyperlink ref="N7" r:id="rId7" display="https://job-boards.greenhouse.io/insightassurance/jobs/5032616008"/>
    <hyperlink ref="AE7" r:id="rId8" display="https://job-boards.greenhouse.io/insightassurance"/>
    <hyperlink ref="N8" r:id="rId9" display="https://www.palfinger.com/en-us/career/jobs/it-project-manager-w/m/d_k_1736785"/>
    <hyperlink ref="AD8" r:id="rId10" display="https://jobs.palfinger.com/en-us"/>
    <hyperlink ref="AE8" r:id="rId11" display="https://jobs.palfinger.com/en-us"/>
    <hyperlink ref="N9" r:id="rId12" display="https://jobs.smartrecruiters.com/RedBull/744000131403389-service-manager-server-cloud-security"/>
    <hyperlink ref="AE9" r:id="rId13" display="https://jobs.redbull.com"/>
    <hyperlink ref="N10" r:id="rId14" display="https://www.wuestenrot.at/de/ueber-uns/karriere/offene-stellen/experte-in-information-security-m-w-d.html"/>
    <hyperlink ref="AE10" r:id="rId15" display="https://www.wuestenrot.at/de/ueber-uns/karriere/offene-stellen.html"/>
    <hyperlink ref="N11" r:id="rId16" display="https://job-boards.greenhouse.io/insightassurance/jobs/5032737008"/>
    <hyperlink ref="AE11" r:id="rId17" display="https://job-boards.greenhouse.io/insightassurance"/>
    <hyperlink ref="N12" r:id="rId18" display="https://www.it-career.at/68428/0/Information-Security-Consultant-(w-m-d)"/>
    <hyperlink ref="AD12" r:id="rId19" display="https://www.kern-partner.at/jobs.html"/>
    <hyperlink ref="AE12" r:id="rId20" display="https://www.kern-partner.at/jobs.html"/>
    <hyperlink ref="N13" r:id="rId21" display="https://www.karriere.at/jobs/senoplast"/>
    <hyperlink ref="AE13" r:id="rId22" display="https://www.karriere.at/jobs/senoplast"/>
    <hyperlink ref="N14" r:id="rId23" display="https://www.techsearch.at/jobs/269996-SPTS/it-team-leiter-w-m-d"/>
    <hyperlink ref="AD14" r:id="rId24" display="https://www.karriere.at/jobs/7840112"/>
    <hyperlink ref="AE14" r:id="rId25" display="https://www.karriere.at/f/techsearch"/>
    <hyperlink ref="N15" r:id="rId26" display="https://www.karriere.at/jobs/7762442"/>
    <hyperlink ref="AD15" r:id="rId27" display="https://www.palfinger.com/worldwide/en/career/jobs/cyber-security-engineer--f-m-d-_8115.html"/>
    <hyperlink ref="AE15" r:id="rId28" display="https://jobs.palfinger.com/en-us"/>
    <hyperlink ref="N16" r:id="rId29" display="https://www.skidata.com/jobs/career/global-service-performance-manager-49574-en_us"/>
    <hyperlink ref="AE16" r:id="rId30" display="http://www.skidata.com/en/career.html"/>
    <hyperlink ref="N17" r:id="rId31" display="https://jobs.redbull.com/at-de/elsbethen-service-manager-security-incident-management--ref28783m?lang=en"/>
    <hyperlink ref="AE17" r:id="rId32" display="https://jobs.redbull.com"/>
    <hyperlink ref="N18" r:id="rId33" display="https://jobs.smartrecruiters.com/RedBull/744000132364914-infrastructure-architect"/>
    <hyperlink ref="AE18" r:id="rId34" display="https://jobs.redbull.com"/>
    <hyperlink ref="N19" r:id="rId35" display="https://hai.jobs/professionals/category/it/4cf6fa25-934c-58f4-a639-8b41841f3043"/>
    <hyperlink ref="AE19" r:id="rId36" display="https://hai.jobs/"/>
    <hyperlink ref="N20" r:id="rId37" display="https://jobs-at.ktm.com/Job/4319/Head-of-IT-Infrastructure--Operations"/>
    <hyperlink ref="AD20" r:id="rId38" display="https://www.karriere.at/jobs/7805765"/>
    <hyperlink ref="AE20" r:id="rId39" display="https://jobs.ktm.com/Jobs"/>
    <hyperlink ref="N21" r:id="rId40" display="https://www.conova.com/karriere/"/>
    <hyperlink ref="AE21" r:id="rId41" display="https://www.conova.com/karriere/"/>
    <hyperlink ref="N22" r:id="rId42" display="https://x-tention.com/de-AT/job/senior-cyber-security-consultant-project-manager-mwd"/>
    <hyperlink ref="AD22" r:id="rId43" display="https://www.karriere.at/jobs/10016338"/>
    <hyperlink ref="AE22" r:id="rId44" display="https://www.karriere.at/jobs/10016338"/>
    <hyperlink ref="N23" r:id="rId45" display="https://www.skidata.com/jobs/career/it-system-engineer-mwd-40865-en_us"/>
    <hyperlink ref="AE23" r:id="rId46" display="http://www.skidata.com/en/career.html"/>
    <hyperlink ref="N24" r:id="rId47" display="https://www.karriere.at/jobs/7818677"/>
    <hyperlink ref="AD24" r:id="rId48" display="https://karriere.acp.at/salzburg"/>
    <hyperlink ref="AE24" r:id="rId49" display="https://karriere.acp.at/salzburg"/>
    <hyperlink ref="N25" r:id="rId50" display="https://job-boards.greenhouse.io/insightassurance/jobs/4887871008"/>
    <hyperlink ref="AE25" r:id="rId51" display="https://job-boards.greenhouse.io/insightassurance"/>
    <hyperlink ref="N26" r:id="rId52" display="https://bewerbung.kpmg.at/stellenausschreiben/56"/>
    <hyperlink ref="AE26" r:id="rId53" display="https://kpmg.com/at/de/careers.html"/>
    <hyperlink ref="N27" r:id="rId54" display="https://careers.lamresearch.com/job/Salzburg-IT-Support-Systems-Administrator-(all-genders)/1198235600/"/>
    <hyperlink ref="AE27" r:id="rId55" display="https://careers.lamresearch.com"/>
    <hyperlink ref="N28" r:id="rId56" display="https://www.bmwgroup.jobs/en/jobfinder/job-description-copy.129634.html"/>
    <hyperlink ref="AE28" r:id="rId57" display="https://www.bmwgroup.jobs/at/en.html"/>
    <hyperlink ref="N29" r:id="rId58" display="https://www.palfinger.com/us/en/career/jobs/teamlead-application-management-operations--m-f-d-_6863.html"/>
    <hyperlink ref="AE29" r:id="rId59" display="https://jobs.palfinger.com/en-us"/>
    <hyperlink ref="N30" r:id="rId60" display="https://www.karriere.at/f/gointerim"/>
    <hyperlink ref="AE30" r:id="rId61" display="https://www.karriere.at/f/gointerim"/>
    <hyperlink ref="N31" r:id="rId62" display="https://www.grinnberg.de/it-job/job-inhouse-senior-netzwerkadministrator-w-m-x-im-raum-salzburg-id21081"/>
    <hyperlink ref="AE31" r:id="rId63" display="https://www.grinnberg.de/it-jobs"/>
    <hyperlink ref="N32" r:id="rId64" display="https://karriere.salzburg-ag.at/Firewall-Network-Security-Engineer-all-genders-de-j2688.html"/>
    <hyperlink ref="AE32" r:id="rId65" display="https://karriere.salzburg-ag.at/stellenangebote.html"/>
    <hyperlink ref="N33" r:id="rId66" display="https://solbytech.at/unternehmen/jobs/"/>
    <hyperlink ref="AE33" r:id="rId67" display="https://solbytech.at/unternehmen/jobs/"/>
    <hyperlink ref="N34" r:id="rId68" display="https://www.spar-ics.com/de/career/offene-stellen-consulting"/>
    <hyperlink ref="AE34" r:id="rId69" display="https://www.spar-ics.com/en/career/work-ics/open-positions-all"/>
    <hyperlink ref="N35" r:id="rId70" display="https://www.dorida.at/karriere/"/>
    <hyperlink ref="AE35" r:id="rId71" display="https://www.dorida.at/karriere/"/>
    <hyperlink ref="N36" r:id="rId72" display="https://www.spaengler.at/bankhaus/karriere/senior-it-technikerin-74/"/>
    <hyperlink ref="AE36" r:id="rId73" display="https://www.spaengler.at/bankhaus/karriere/"/>
    <hyperlink ref="N37" r:id="rId74" display="https://bewerbung.acp-gruppe.com/at/rx/906"/>
    <hyperlink ref="AD37" r:id="rId75" display="https://karriere.acp.at/salzburg"/>
    <hyperlink ref="AE37" r:id="rId76" display="https://karriere.acp.at/salzburg"/>
    <hyperlink ref="N38" r:id="rId77" display="https://www.evgroup.com/de/karriere/jobs/it-administrator-mwx-fuer-domain-und-groupware-services-1"/>
    <hyperlink ref="AE38" r:id="rId78" display="https://www.evgroup.com/de/karriere/arbeitsbereiche/information-technology"/>
    <hyperlink ref="N39" r:id="rId79" display="https://www.nts.eu/de/job/senior-systems-engineer-network-m-w-d/"/>
    <hyperlink ref="AD39" r:id="rId80" display="https://www.nts.eu/de/job_city/salzburg-de/"/>
    <hyperlink ref="AE39" r:id="rId81" display="https://www.nts.eu/en/jobs/"/>
    <hyperlink ref="N40" r:id="rId82" display="https://www.grinnberg.de/it-job/job-it-job-als-systemadministrator-im-raum-salzburg-m-w-d-it-administrator-m-w-d-id21067"/>
    <hyperlink ref="AE40" r:id="rId83" display="https://www.grinnberg.de/it-jobs"/>
    <hyperlink ref="N41" r:id="rId84" display="https://www.sanitas.at/karriere/it-systemspezialistenin-fuer-klinische-informationssysteme-mwd"/>
    <hyperlink ref="AE41" r:id="rId85" display="https://www.sanitas.at/karriere/it-systemspezialistenin-fuer-klinische-informationssysteme-mwd"/>
    <hyperlink ref="N42" r:id="rId86" display="https://bewerbung.acp-gruppe.com/at/rx/887"/>
    <hyperlink ref="AD42" r:id="rId87" display="https://karriere.acp.at/salzburg"/>
    <hyperlink ref="AE42" r:id="rId88" display="https://karriere.acp.at/salzburg"/>
    <hyperlink ref="N43" r:id="rId89" display="https://www.ottogroup.com/en/careers/job/03573527/information-security-specialist-m-w-d-"/>
    <hyperlink ref="AD43" r:id="rId90" display="https://www.karriere.at/jobs/7790918"/>
    <hyperlink ref="AE43" r:id="rId91" display="https://www.ottoaustriagroup.at/"/>
    <hyperlink ref="N44" r:id="rId92" display="https://jobs.cancom.com/"/>
    <hyperlink ref="AE44" r:id="rId93" display="https://jobs.cancom.com/"/>
    <hyperlink ref="N45" r:id="rId94" display="https://messezentrum-salzburg-gmbh.jobs.personio.de/?language=de"/>
    <hyperlink ref="AE45" r:id="rId95" display="https://messezentrum-salzburg-gmbh.jobs.personio.de/?language=de"/>
    <hyperlink ref="N46" r:id="rId96" display="https://jobs.cancom.com/System-Engineer-NetworkSecurity-wm-Junior-oder-Professiona-de-j69.html"/>
    <hyperlink ref="AE46" r:id="rId97" display="https://jobs.cancom.com/"/>
    <hyperlink ref="N47" r:id="rId98" display="https://www.kern-partner.at/jobs/job/214500.html"/>
    <hyperlink ref="AE47" r:id="rId99" display="https://www.kern-partner.at/jobs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00"/>
  <legacyDrawing r:id="rId10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2"/>
    <col collapsed="false" customWidth="true" hidden="false" outlineLevel="0" max="3" min="3" style="0" width="24"/>
    <col collapsed="false" customWidth="true" hidden="false" outlineLevel="0" max="4" min="4" style="0" width="11"/>
    <col collapsed="false" customWidth="true" hidden="false" outlineLevel="0" max="5" min="5" style="0" width="36"/>
    <col collapsed="false" customWidth="true" hidden="false" outlineLevel="0" max="6" min="6" style="0" width="18"/>
    <col collapsed="false" customWidth="true" hidden="false" outlineLevel="0" max="7" min="7" style="0" width="38"/>
    <col collapsed="false" customWidth="true" hidden="false" outlineLevel="0" max="8" min="8" style="0" width="36"/>
    <col collapsed="false" customWidth="true" hidden="false" outlineLevel="0" max="9" min="9" style="0" width="9"/>
    <col collapsed="false" customWidth="true" hidden="false" outlineLevel="0" max="10" min="10" style="0" width="11"/>
    <col collapsed="false" customWidth="true" hidden="false" outlineLevel="0" max="12" min="11" style="0" width="40"/>
  </cols>
  <sheetData>
    <row r="1" customFormat="false" ht="17.35" hidden="false" customHeight="false" outlineLevel="0" collapsed="false">
      <c r="A1" s="17" t="s">
        <v>555</v>
      </c>
    </row>
    <row r="2" customFormat="false" ht="15" hidden="false" customHeight="false" outlineLevel="0" collapsed="false">
      <c r="A2" s="2" t="s">
        <v>556</v>
      </c>
    </row>
    <row r="4" customFormat="false" ht="23.85" hidden="false" customHeight="false" outlineLevel="0" collapsed="false">
      <c r="A4" s="19" t="s">
        <v>65</v>
      </c>
      <c r="B4" s="19" t="s">
        <v>557</v>
      </c>
      <c r="C4" s="19" t="s">
        <v>68</v>
      </c>
      <c r="D4" s="19" t="s">
        <v>558</v>
      </c>
      <c r="E4" s="19" t="s">
        <v>559</v>
      </c>
      <c r="F4" s="19" t="s">
        <v>87</v>
      </c>
      <c r="G4" s="19" t="s">
        <v>560</v>
      </c>
      <c r="H4" s="19" t="s">
        <v>561</v>
      </c>
      <c r="I4" s="19" t="s">
        <v>562</v>
      </c>
      <c r="J4" s="19" t="s">
        <v>563</v>
      </c>
      <c r="K4" s="19" t="s">
        <v>564</v>
      </c>
      <c r="L4" s="19" t="s">
        <v>565</v>
      </c>
    </row>
    <row r="5" customFormat="false" ht="51.75" hidden="false" customHeight="true" outlineLevel="0" collapsed="false">
      <c r="A5" s="20" t="s">
        <v>160</v>
      </c>
      <c r="B5" s="20" t="s">
        <v>566</v>
      </c>
      <c r="C5" s="20" t="s">
        <v>567</v>
      </c>
      <c r="D5" s="20" t="s">
        <v>568</v>
      </c>
      <c r="E5" s="20" t="s">
        <v>569</v>
      </c>
      <c r="F5" s="20" t="s">
        <v>570</v>
      </c>
      <c r="G5" s="20" t="s">
        <v>571</v>
      </c>
      <c r="H5" s="20" t="s">
        <v>572</v>
      </c>
      <c r="I5" s="22" t="n">
        <v>5</v>
      </c>
      <c r="J5" s="29" t="n">
        <f aca="false">COUNTIF(İlanlar!$B$5:$B$47,"Red Bull*")</f>
        <v>3</v>
      </c>
      <c r="K5" s="20" t="s">
        <v>573</v>
      </c>
      <c r="L5" s="21" t="s">
        <v>171</v>
      </c>
    </row>
    <row r="6" customFormat="false" ht="51.75" hidden="false" customHeight="true" outlineLevel="0" collapsed="false">
      <c r="A6" s="20" t="s">
        <v>108</v>
      </c>
      <c r="B6" s="20" t="s">
        <v>574</v>
      </c>
      <c r="C6" s="20" t="s">
        <v>152</v>
      </c>
      <c r="D6" s="20" t="s">
        <v>111</v>
      </c>
      <c r="E6" s="20" t="s">
        <v>575</v>
      </c>
      <c r="F6" s="20" t="s">
        <v>570</v>
      </c>
      <c r="G6" s="20" t="s">
        <v>576</v>
      </c>
      <c r="H6" s="20" t="s">
        <v>577</v>
      </c>
      <c r="I6" s="22" t="n">
        <v>5</v>
      </c>
      <c r="J6" s="29" t="n">
        <f aca="false">COUNTIF(İlanlar!$B$5:$B$47,"PALFINGER*")</f>
        <v>4</v>
      </c>
      <c r="K6" s="20" t="s">
        <v>578</v>
      </c>
      <c r="L6" s="21" t="s">
        <v>125</v>
      </c>
    </row>
    <row r="7" customFormat="false" ht="51.75" hidden="false" customHeight="true" outlineLevel="0" collapsed="false">
      <c r="A7" s="20" t="s">
        <v>579</v>
      </c>
      <c r="B7" s="20" t="s">
        <v>580</v>
      </c>
      <c r="C7" s="20" t="s">
        <v>581</v>
      </c>
      <c r="D7" s="20" t="s">
        <v>582</v>
      </c>
      <c r="E7" s="20" t="s">
        <v>583</v>
      </c>
      <c r="F7" s="20" t="s">
        <v>584</v>
      </c>
      <c r="G7" s="20" t="s">
        <v>585</v>
      </c>
      <c r="H7" s="20" t="s">
        <v>586</v>
      </c>
      <c r="I7" s="22" t="n">
        <v>4</v>
      </c>
      <c r="J7" s="29" t="n">
        <f aca="false">COUNTIF(İlanlar!$B$5:$B$47,"KTM*")</f>
        <v>1</v>
      </c>
      <c r="K7" s="20" t="s">
        <v>587</v>
      </c>
      <c r="L7" s="21" t="s">
        <v>294</v>
      </c>
    </row>
    <row r="8" customFormat="false" ht="51.75" hidden="false" customHeight="true" outlineLevel="0" collapsed="false">
      <c r="A8" s="20" t="s">
        <v>588</v>
      </c>
      <c r="B8" s="20" t="s">
        <v>589</v>
      </c>
      <c r="C8" s="20" t="s">
        <v>590</v>
      </c>
      <c r="D8" s="20" t="s">
        <v>129</v>
      </c>
      <c r="E8" s="20" t="s">
        <v>591</v>
      </c>
      <c r="F8" s="20" t="s">
        <v>592</v>
      </c>
      <c r="G8" s="20" t="s">
        <v>593</v>
      </c>
      <c r="H8" s="20" t="s">
        <v>594</v>
      </c>
      <c r="I8" s="22" t="n">
        <v>4</v>
      </c>
      <c r="J8" s="29" t="n">
        <f aca="false">COUNTIF(İlanlar!$B$5:$B$47,"Porsche*")</f>
        <v>0</v>
      </c>
      <c r="K8" s="20" t="s">
        <v>595</v>
      </c>
      <c r="L8" s="21" t="s">
        <v>596</v>
      </c>
    </row>
    <row r="9" customFormat="false" ht="51.75" hidden="false" customHeight="true" outlineLevel="0" collapsed="false">
      <c r="A9" s="20" t="s">
        <v>597</v>
      </c>
      <c r="B9" s="20" t="s">
        <v>598</v>
      </c>
      <c r="C9" s="20" t="s">
        <v>332</v>
      </c>
      <c r="D9" s="20" t="s">
        <v>129</v>
      </c>
      <c r="E9" s="20" t="s">
        <v>599</v>
      </c>
      <c r="F9" s="20" t="s">
        <v>453</v>
      </c>
      <c r="G9" s="20" t="s">
        <v>600</v>
      </c>
      <c r="H9" s="20" t="s">
        <v>601</v>
      </c>
      <c r="I9" s="22" t="n">
        <v>4</v>
      </c>
      <c r="J9" s="29" t="n">
        <f aca="false">COUNTIF(İlanlar!$B$5:$B$47,"SPAR ICS*")</f>
        <v>1</v>
      </c>
      <c r="K9" s="20" t="s">
        <v>602</v>
      </c>
      <c r="L9" s="21" t="s">
        <v>437</v>
      </c>
    </row>
    <row r="10" customFormat="false" ht="51.75" hidden="false" customHeight="true" outlineLevel="0" collapsed="false">
      <c r="A10" s="20" t="s">
        <v>603</v>
      </c>
      <c r="B10" s="20" t="s">
        <v>604</v>
      </c>
      <c r="C10" s="20" t="s">
        <v>605</v>
      </c>
      <c r="D10" s="20" t="s">
        <v>111</v>
      </c>
      <c r="E10" s="20" t="s">
        <v>606</v>
      </c>
      <c r="F10" s="20" t="s">
        <v>453</v>
      </c>
      <c r="G10" s="20" t="s">
        <v>607</v>
      </c>
      <c r="H10" s="20" t="s">
        <v>608</v>
      </c>
      <c r="I10" s="22" t="n">
        <v>4</v>
      </c>
      <c r="J10" s="29" t="n">
        <f aca="false">COUNTIF(İlanlar!$B$5:$B$47,"dm drogerie*")</f>
        <v>0</v>
      </c>
      <c r="K10" s="20" t="s">
        <v>609</v>
      </c>
      <c r="L10" s="21" t="s">
        <v>610</v>
      </c>
    </row>
    <row r="11" customFormat="false" ht="51.75" hidden="false" customHeight="true" outlineLevel="0" collapsed="false">
      <c r="A11" s="20" t="s">
        <v>407</v>
      </c>
      <c r="B11" s="20" t="s">
        <v>611</v>
      </c>
      <c r="C11" s="20" t="s">
        <v>332</v>
      </c>
      <c r="D11" s="20" t="s">
        <v>129</v>
      </c>
      <c r="E11" s="20" t="s">
        <v>612</v>
      </c>
      <c r="F11" s="20" t="s">
        <v>453</v>
      </c>
      <c r="G11" s="20" t="s">
        <v>613</v>
      </c>
      <c r="H11" s="20" t="s">
        <v>614</v>
      </c>
      <c r="I11" s="22" t="n">
        <v>4</v>
      </c>
      <c r="J11" s="29" t="n">
        <f aca="false">COUNTIF(İlanlar!$B$5:$B$47,"Salzburg AG*")</f>
        <v>1</v>
      </c>
      <c r="K11" s="20" t="s">
        <v>615</v>
      </c>
      <c r="L11" s="21" t="s">
        <v>417</v>
      </c>
    </row>
    <row r="12" customFormat="false" ht="51.75" hidden="false" customHeight="true" outlineLevel="0" collapsed="false">
      <c r="A12" s="20" t="s">
        <v>616</v>
      </c>
      <c r="B12" s="20" t="s">
        <v>617</v>
      </c>
      <c r="C12" s="20" t="s">
        <v>618</v>
      </c>
      <c r="D12" s="20" t="s">
        <v>129</v>
      </c>
      <c r="E12" s="20" t="s">
        <v>619</v>
      </c>
      <c r="F12" s="20" t="s">
        <v>453</v>
      </c>
      <c r="G12" s="20" t="s">
        <v>620</v>
      </c>
      <c r="H12" s="20" t="s">
        <v>621</v>
      </c>
      <c r="I12" s="22" t="n">
        <v>4</v>
      </c>
      <c r="J12" s="29" t="n">
        <f aca="false">COUNTIF(İlanlar!$B$5:$B$47,"conova*")</f>
        <v>1</v>
      </c>
      <c r="K12" s="20" t="s">
        <v>622</v>
      </c>
      <c r="L12" s="21" t="s">
        <v>301</v>
      </c>
    </row>
    <row r="13" customFormat="false" ht="51.75" hidden="false" customHeight="true" outlineLevel="0" collapsed="false">
      <c r="A13" s="20" t="s">
        <v>623</v>
      </c>
      <c r="B13" s="20" t="s">
        <v>624</v>
      </c>
      <c r="C13" s="20" t="s">
        <v>625</v>
      </c>
      <c r="D13" s="20" t="s">
        <v>129</v>
      </c>
      <c r="E13" s="20" t="s">
        <v>626</v>
      </c>
      <c r="F13" s="20" t="s">
        <v>453</v>
      </c>
      <c r="G13" s="20" t="s">
        <v>627</v>
      </c>
      <c r="H13" s="20" t="s">
        <v>628</v>
      </c>
      <c r="I13" s="22" t="n">
        <v>4</v>
      </c>
      <c r="J13" s="29" t="n">
        <f aca="false">COUNTIF(İlanlar!$B$5:$B$47,"Wüstenrot*")</f>
        <v>2</v>
      </c>
      <c r="K13" s="20" t="s">
        <v>136</v>
      </c>
      <c r="L13" s="21" t="s">
        <v>138</v>
      </c>
    </row>
    <row r="14" customFormat="false" ht="51.75" hidden="false" customHeight="true" outlineLevel="0" collapsed="false">
      <c r="A14" s="20" t="s">
        <v>629</v>
      </c>
      <c r="B14" s="20" t="s">
        <v>630</v>
      </c>
      <c r="C14" s="20" t="s">
        <v>359</v>
      </c>
      <c r="D14" s="20" t="s">
        <v>360</v>
      </c>
      <c r="E14" s="20" t="s">
        <v>631</v>
      </c>
      <c r="F14" s="20" t="s">
        <v>584</v>
      </c>
      <c r="G14" s="20" t="s">
        <v>632</v>
      </c>
      <c r="H14" s="20" t="s">
        <v>633</v>
      </c>
      <c r="I14" s="22" t="n">
        <v>4</v>
      </c>
      <c r="J14" s="29" t="n">
        <f aca="false">COUNTIF(İlanlar!$B$5:$B$47,"Lam Research*")</f>
        <v>1</v>
      </c>
      <c r="K14" s="20" t="s">
        <v>634</v>
      </c>
      <c r="L14" s="21" t="s">
        <v>367</v>
      </c>
    </row>
    <row r="15" customFormat="false" ht="51.75" hidden="false" customHeight="true" outlineLevel="0" collapsed="false">
      <c r="A15" s="20" t="s">
        <v>635</v>
      </c>
      <c r="B15" s="20" t="s">
        <v>636</v>
      </c>
      <c r="C15" s="20" t="s">
        <v>244</v>
      </c>
      <c r="D15" s="20" t="s">
        <v>111</v>
      </c>
      <c r="E15" s="20" t="s">
        <v>637</v>
      </c>
      <c r="F15" s="20" t="s">
        <v>584</v>
      </c>
      <c r="G15" s="20" t="s">
        <v>638</v>
      </c>
      <c r="H15" s="20" t="s">
        <v>639</v>
      </c>
      <c r="I15" s="22" t="n">
        <v>4</v>
      </c>
      <c r="J15" s="29" t="n">
        <f aca="false">COUNTIF(İlanlar!$B$5:$B$47,"SKIDATA*")</f>
        <v>2</v>
      </c>
      <c r="K15" s="20" t="s">
        <v>158</v>
      </c>
      <c r="L15" s="21" t="s">
        <v>251</v>
      </c>
    </row>
    <row r="16" customFormat="false" ht="51.75" hidden="false" customHeight="true" outlineLevel="0" collapsed="false">
      <c r="A16" s="20" t="s">
        <v>640</v>
      </c>
      <c r="B16" s="20" t="s">
        <v>641</v>
      </c>
      <c r="C16" s="20" t="s">
        <v>642</v>
      </c>
      <c r="D16" s="20" t="s">
        <v>205</v>
      </c>
      <c r="E16" s="20" t="s">
        <v>643</v>
      </c>
      <c r="F16" s="20" t="s">
        <v>453</v>
      </c>
      <c r="G16" s="20" t="s">
        <v>644</v>
      </c>
      <c r="H16" s="20" t="s">
        <v>645</v>
      </c>
      <c r="I16" s="22" t="n">
        <v>4</v>
      </c>
      <c r="J16" s="29" t="n">
        <f aca="false">COUNTIF(İlanlar!$B$5:$B$47,"Senoplast*")</f>
        <v>1</v>
      </c>
      <c r="K16" s="20" t="s">
        <v>646</v>
      </c>
      <c r="L16" s="21" t="s">
        <v>210</v>
      </c>
    </row>
    <row r="17" customFormat="false" ht="51.75" hidden="false" customHeight="true" outlineLevel="0" collapsed="false">
      <c r="A17" s="20" t="s">
        <v>647</v>
      </c>
      <c r="B17" s="20" t="s">
        <v>648</v>
      </c>
      <c r="C17" s="20" t="s">
        <v>270</v>
      </c>
      <c r="D17" s="20" t="s">
        <v>271</v>
      </c>
      <c r="E17" s="20" t="s">
        <v>649</v>
      </c>
      <c r="F17" s="20" t="s">
        <v>453</v>
      </c>
      <c r="G17" s="20" t="s">
        <v>650</v>
      </c>
      <c r="H17" s="20" t="s">
        <v>651</v>
      </c>
      <c r="I17" s="22" t="n">
        <v>4</v>
      </c>
      <c r="J17" s="29" t="n">
        <f aca="false">COUNTIF(İlanlar!$B$5:$B$47,"Hammerer*")</f>
        <v>1</v>
      </c>
      <c r="K17" s="20" t="s">
        <v>158</v>
      </c>
      <c r="L17" s="21" t="s">
        <v>279</v>
      </c>
    </row>
    <row r="18" customFormat="false" ht="51.75" hidden="false" customHeight="true" outlineLevel="0" collapsed="false">
      <c r="A18" s="20" t="s">
        <v>652</v>
      </c>
      <c r="B18" s="20" t="s">
        <v>653</v>
      </c>
      <c r="C18" s="20" t="s">
        <v>332</v>
      </c>
      <c r="D18" s="20" t="s">
        <v>129</v>
      </c>
      <c r="E18" s="20" t="s">
        <v>654</v>
      </c>
      <c r="F18" s="20" t="s">
        <v>655</v>
      </c>
      <c r="G18" s="20" t="s">
        <v>656</v>
      </c>
      <c r="H18" s="20" t="s">
        <v>657</v>
      </c>
      <c r="I18" s="22" t="n">
        <v>4</v>
      </c>
      <c r="J18" s="29" t="n">
        <f aca="false">COUNTIF(İlanlar!$B$5:$B$47,"NovaTaste*")</f>
        <v>0</v>
      </c>
      <c r="K18" s="20" t="s">
        <v>158</v>
      </c>
      <c r="L18" s="21" t="s">
        <v>658</v>
      </c>
    </row>
    <row r="19" customFormat="false" ht="51.75" hidden="false" customHeight="true" outlineLevel="0" collapsed="false">
      <c r="A19" s="20" t="s">
        <v>659</v>
      </c>
      <c r="B19" s="20" t="s">
        <v>660</v>
      </c>
      <c r="C19" s="20" t="s">
        <v>128</v>
      </c>
      <c r="D19" s="20" t="s">
        <v>113</v>
      </c>
      <c r="E19" s="20" t="s">
        <v>661</v>
      </c>
      <c r="F19" s="20" t="s">
        <v>662</v>
      </c>
      <c r="G19" s="20" t="s">
        <v>663</v>
      </c>
      <c r="H19" s="20" t="s">
        <v>664</v>
      </c>
      <c r="I19" s="22" t="n">
        <v>4</v>
      </c>
      <c r="J19" s="29" t="n">
        <f aca="false">COUNTIF(İlanlar!$B$5:$B$47,"Inditex*")</f>
        <v>0</v>
      </c>
      <c r="K19" s="20" t="s">
        <v>665</v>
      </c>
      <c r="L19" s="21" t="s">
        <v>666</v>
      </c>
    </row>
    <row r="20" customFormat="false" ht="51.75" hidden="false" customHeight="true" outlineLevel="0" collapsed="false">
      <c r="A20" s="20" t="s">
        <v>667</v>
      </c>
      <c r="B20" s="20" t="s">
        <v>668</v>
      </c>
      <c r="C20" s="20" t="s">
        <v>669</v>
      </c>
      <c r="D20" s="20" t="s">
        <v>129</v>
      </c>
      <c r="E20" s="20" t="s">
        <v>670</v>
      </c>
      <c r="F20" s="20" t="s">
        <v>453</v>
      </c>
      <c r="G20" s="20" t="s">
        <v>671</v>
      </c>
      <c r="H20" s="20" t="s">
        <v>672</v>
      </c>
      <c r="I20" s="22" t="n">
        <v>4</v>
      </c>
      <c r="J20" s="29" t="n">
        <f aca="false">COUNTIF(İlanlar!$B$5:$B$47,"x-tention*")</f>
        <v>1</v>
      </c>
      <c r="K20" s="20" t="s">
        <v>158</v>
      </c>
      <c r="L20" s="21" t="s">
        <v>313</v>
      </c>
    </row>
    <row r="21" customFormat="false" ht="51.75" hidden="false" customHeight="true" outlineLevel="0" collapsed="false">
      <c r="A21" s="20" t="s">
        <v>438</v>
      </c>
      <c r="B21" s="20" t="s">
        <v>673</v>
      </c>
      <c r="C21" s="20" t="s">
        <v>332</v>
      </c>
      <c r="D21" s="20" t="s">
        <v>129</v>
      </c>
      <c r="E21" s="20" t="s">
        <v>674</v>
      </c>
      <c r="F21" s="20" t="s">
        <v>453</v>
      </c>
      <c r="G21" s="20" t="s">
        <v>675</v>
      </c>
      <c r="H21" s="20" t="s">
        <v>676</v>
      </c>
      <c r="I21" s="22" t="n">
        <v>4</v>
      </c>
      <c r="J21" s="29" t="n">
        <f aca="false">COUNTIF(İlanlar!$B$5:$B$47,"DORIDA*")</f>
        <v>1</v>
      </c>
      <c r="K21" s="20" t="s">
        <v>664</v>
      </c>
      <c r="L21" s="21" t="s">
        <v>442</v>
      </c>
    </row>
    <row r="22" customFormat="false" ht="51.75" hidden="false" customHeight="true" outlineLevel="0" collapsed="false">
      <c r="A22" s="20" t="s">
        <v>677</v>
      </c>
      <c r="B22" s="20" t="s">
        <v>678</v>
      </c>
      <c r="C22" s="20" t="s">
        <v>332</v>
      </c>
      <c r="D22" s="20" t="s">
        <v>129</v>
      </c>
      <c r="E22" s="20" t="s">
        <v>679</v>
      </c>
      <c r="F22" s="20" t="s">
        <v>584</v>
      </c>
      <c r="G22" s="20" t="s">
        <v>680</v>
      </c>
      <c r="H22" s="20" t="s">
        <v>681</v>
      </c>
      <c r="I22" s="22" t="n">
        <v>3</v>
      </c>
      <c r="J22" s="30" t="n">
        <v>0</v>
      </c>
      <c r="K22" s="20" t="s">
        <v>682</v>
      </c>
      <c r="L22" s="21" t="s">
        <v>683</v>
      </c>
    </row>
    <row r="23" customFormat="false" ht="51.75" hidden="false" customHeight="true" outlineLevel="0" collapsed="false">
      <c r="A23" s="20" t="s">
        <v>684</v>
      </c>
      <c r="B23" s="20" t="s">
        <v>685</v>
      </c>
      <c r="C23" s="20" t="s">
        <v>686</v>
      </c>
      <c r="D23" s="20" t="s">
        <v>687</v>
      </c>
      <c r="E23" s="20" t="s">
        <v>688</v>
      </c>
      <c r="F23" s="20" t="s">
        <v>584</v>
      </c>
      <c r="G23" s="20" t="s">
        <v>689</v>
      </c>
      <c r="H23" s="20" t="s">
        <v>690</v>
      </c>
      <c r="I23" s="22" t="n">
        <v>3</v>
      </c>
      <c r="J23" s="30" t="n">
        <v>0</v>
      </c>
      <c r="K23" s="20" t="s">
        <v>691</v>
      </c>
      <c r="L23" s="21" t="s">
        <v>692</v>
      </c>
    </row>
    <row r="24" customFormat="false" ht="51.75" hidden="false" customHeight="true" outlineLevel="0" collapsed="false">
      <c r="A24" s="20" t="s">
        <v>693</v>
      </c>
      <c r="B24" s="20" t="s">
        <v>694</v>
      </c>
      <c r="C24" s="20" t="s">
        <v>332</v>
      </c>
      <c r="D24" s="20" t="s">
        <v>129</v>
      </c>
      <c r="E24" s="20" t="s">
        <v>695</v>
      </c>
      <c r="F24" s="20" t="s">
        <v>655</v>
      </c>
      <c r="G24" s="20" t="s">
        <v>696</v>
      </c>
      <c r="H24" s="20" t="s">
        <v>697</v>
      </c>
      <c r="I24" s="22" t="n">
        <v>3</v>
      </c>
      <c r="J24" s="29" t="n">
        <f aca="false">COUNTIF(İlanlar!$B$5:$B$47,"BMW*")</f>
        <v>1</v>
      </c>
      <c r="K24" s="20" t="s">
        <v>158</v>
      </c>
      <c r="L24" s="21" t="s">
        <v>376</v>
      </c>
    </row>
    <row r="25" customFormat="false" ht="51.75" hidden="false" customHeight="true" outlineLevel="0" collapsed="false">
      <c r="A25" s="20" t="s">
        <v>698</v>
      </c>
      <c r="B25" s="20" t="s">
        <v>699</v>
      </c>
      <c r="C25" s="20" t="s">
        <v>332</v>
      </c>
      <c r="D25" s="20" t="s">
        <v>129</v>
      </c>
      <c r="E25" s="20" t="s">
        <v>700</v>
      </c>
      <c r="F25" s="20" t="s">
        <v>453</v>
      </c>
      <c r="G25" s="20" t="s">
        <v>701</v>
      </c>
      <c r="H25" s="20" t="s">
        <v>702</v>
      </c>
      <c r="I25" s="22" t="n">
        <v>3</v>
      </c>
      <c r="J25" s="29" t="n">
        <f aca="false">COUNTIF(İlanlar!$B$5:$B$47,"Raiffeisenverband*")</f>
        <v>0</v>
      </c>
      <c r="K25" s="20" t="s">
        <v>703</v>
      </c>
      <c r="L25" s="21" t="s">
        <v>704</v>
      </c>
    </row>
    <row r="26" customFormat="false" ht="51.75" hidden="false" customHeight="true" outlineLevel="0" collapsed="false">
      <c r="A26" s="20" t="s">
        <v>448</v>
      </c>
      <c r="B26" s="20" t="s">
        <v>705</v>
      </c>
      <c r="C26" s="20" t="s">
        <v>332</v>
      </c>
      <c r="D26" s="20" t="s">
        <v>129</v>
      </c>
      <c r="E26" s="20" t="s">
        <v>706</v>
      </c>
      <c r="F26" s="20" t="s">
        <v>453</v>
      </c>
      <c r="G26" s="20" t="s">
        <v>707</v>
      </c>
      <c r="H26" s="20" t="s">
        <v>708</v>
      </c>
      <c r="I26" s="22" t="n">
        <v>3</v>
      </c>
      <c r="J26" s="29" t="n">
        <f aca="false">COUNTIF(İlanlar!$B$5:$B$47,"Bankhaus Spängler*")</f>
        <v>1</v>
      </c>
      <c r="K26" s="20" t="s">
        <v>158</v>
      </c>
      <c r="L26" s="21" t="s">
        <v>456</v>
      </c>
    </row>
    <row r="27" customFormat="false" ht="51.75" hidden="false" customHeight="true" outlineLevel="0" collapsed="false">
      <c r="A27" s="20" t="s">
        <v>709</v>
      </c>
      <c r="B27" s="20" t="s">
        <v>710</v>
      </c>
      <c r="C27" s="20" t="s">
        <v>711</v>
      </c>
      <c r="D27" s="20" t="s">
        <v>111</v>
      </c>
      <c r="E27" s="20" t="s">
        <v>712</v>
      </c>
      <c r="F27" s="20" t="s">
        <v>453</v>
      </c>
      <c r="G27" s="20" t="s">
        <v>713</v>
      </c>
      <c r="H27" s="20" t="s">
        <v>714</v>
      </c>
      <c r="I27" s="22" t="n">
        <v>3</v>
      </c>
      <c r="J27" s="29" t="n">
        <f aca="false">COUNTIF(İlanlar!$B$5:$B$47,"M. Kaindl*")</f>
        <v>0</v>
      </c>
      <c r="K27" s="20" t="s">
        <v>158</v>
      </c>
      <c r="L27" s="21" t="s">
        <v>715</v>
      </c>
    </row>
    <row r="28" customFormat="false" ht="51.75" hidden="false" customHeight="true" outlineLevel="0" collapsed="false">
      <c r="A28" s="20" t="s">
        <v>716</v>
      </c>
      <c r="B28" s="20" t="s">
        <v>717</v>
      </c>
      <c r="C28" s="20" t="s">
        <v>718</v>
      </c>
      <c r="D28" s="20" t="s">
        <v>719</v>
      </c>
      <c r="E28" s="20" t="s">
        <v>720</v>
      </c>
      <c r="F28" s="20" t="s">
        <v>453</v>
      </c>
      <c r="G28" s="20" t="s">
        <v>721</v>
      </c>
      <c r="H28" s="20" t="s">
        <v>722</v>
      </c>
      <c r="I28" s="22" t="n">
        <v>3</v>
      </c>
      <c r="J28" s="29" t="n">
        <f aca="false">COUNTIF(İlanlar!$B$5:$B$47,"Liebherr*")</f>
        <v>0</v>
      </c>
      <c r="K28" s="20" t="s">
        <v>158</v>
      </c>
      <c r="L28" s="21" t="s">
        <v>723</v>
      </c>
    </row>
    <row r="29" customFormat="false" ht="51.75" hidden="false" customHeight="true" outlineLevel="0" collapsed="false">
      <c r="A29" s="20" t="s">
        <v>724</v>
      </c>
      <c r="B29" s="20" t="s">
        <v>725</v>
      </c>
      <c r="C29" s="20" t="s">
        <v>270</v>
      </c>
      <c r="D29" s="20" t="s">
        <v>271</v>
      </c>
      <c r="E29" s="20" t="s">
        <v>726</v>
      </c>
      <c r="F29" s="20" t="s">
        <v>453</v>
      </c>
      <c r="G29" s="20" t="s">
        <v>727</v>
      </c>
      <c r="H29" s="20" t="s">
        <v>728</v>
      </c>
      <c r="I29" s="22" t="n">
        <v>3</v>
      </c>
      <c r="J29" s="29" t="n">
        <f aca="false">COUNTIF(İlanlar!$B$5:$B$47,"AMAG*")</f>
        <v>0</v>
      </c>
      <c r="K29" s="20" t="s">
        <v>158</v>
      </c>
      <c r="L29" s="21" t="s">
        <v>729</v>
      </c>
    </row>
    <row r="30" customFormat="false" ht="51.75" hidden="false" customHeight="true" outlineLevel="0" collapsed="false">
      <c r="A30" s="20" t="s">
        <v>730</v>
      </c>
      <c r="B30" s="20" t="s">
        <v>731</v>
      </c>
      <c r="C30" s="20" t="s">
        <v>332</v>
      </c>
      <c r="D30" s="20" t="s">
        <v>129</v>
      </c>
      <c r="E30" s="20" t="s">
        <v>732</v>
      </c>
      <c r="F30" s="20" t="s">
        <v>453</v>
      </c>
      <c r="G30" s="20" t="s">
        <v>733</v>
      </c>
      <c r="H30" s="20" t="s">
        <v>734</v>
      </c>
      <c r="I30" s="22" t="n">
        <v>3</v>
      </c>
      <c r="J30" s="29" t="n">
        <f aca="false">COUNTIF(İlanlar!$B$5:$B$47,"SALK*")</f>
        <v>0</v>
      </c>
      <c r="K30" s="20" t="s">
        <v>735</v>
      </c>
      <c r="L30" s="21" t="s">
        <v>736</v>
      </c>
    </row>
    <row r="31" customFormat="false" ht="51.75" hidden="false" customHeight="true" outlineLevel="0" collapsed="false">
      <c r="A31" s="20" t="s">
        <v>737</v>
      </c>
      <c r="B31" s="20" t="s">
        <v>738</v>
      </c>
      <c r="C31" s="20" t="s">
        <v>332</v>
      </c>
      <c r="D31" s="20" t="s">
        <v>129</v>
      </c>
      <c r="E31" s="20" t="s">
        <v>739</v>
      </c>
      <c r="F31" s="20" t="s">
        <v>453</v>
      </c>
      <c r="G31" s="20" t="s">
        <v>740</v>
      </c>
      <c r="H31" s="20" t="s">
        <v>741</v>
      </c>
      <c r="I31" s="22" t="n">
        <v>3</v>
      </c>
      <c r="J31" s="29" t="n">
        <f aca="false">COUNTIF(İlanlar!$B$5:$B$47,"Paracelsus*")</f>
        <v>0</v>
      </c>
      <c r="K31" s="20" t="s">
        <v>158</v>
      </c>
      <c r="L31" s="21" t="s">
        <v>742</v>
      </c>
    </row>
    <row r="32" customFormat="false" ht="51.75" hidden="false" customHeight="true" outlineLevel="0" collapsed="false">
      <c r="A32" s="20" t="s">
        <v>743</v>
      </c>
      <c r="B32" s="20" t="s">
        <v>744</v>
      </c>
      <c r="C32" s="20" t="s">
        <v>332</v>
      </c>
      <c r="D32" s="20" t="s">
        <v>298</v>
      </c>
      <c r="E32" s="20" t="s">
        <v>745</v>
      </c>
      <c r="F32" s="20" t="s">
        <v>655</v>
      </c>
      <c r="G32" s="20" t="s">
        <v>746</v>
      </c>
      <c r="H32" s="20" t="s">
        <v>747</v>
      </c>
      <c r="I32" s="22" t="n">
        <v>3</v>
      </c>
      <c r="J32" s="29" t="n">
        <f aca="false">COUNTIF(İlanlar!$B$5:$B$47,"Lagermax*")</f>
        <v>0</v>
      </c>
      <c r="K32" s="20" t="s">
        <v>748</v>
      </c>
      <c r="L32" s="21" t="s">
        <v>749</v>
      </c>
    </row>
    <row r="33" customFormat="false" ht="51.75" hidden="false" customHeight="true" outlineLevel="0" collapsed="false">
      <c r="A33" s="20" t="s">
        <v>330</v>
      </c>
      <c r="B33" s="20" t="s">
        <v>750</v>
      </c>
      <c r="C33" s="20" t="s">
        <v>332</v>
      </c>
      <c r="D33" s="20" t="s">
        <v>129</v>
      </c>
      <c r="E33" s="20" t="s">
        <v>751</v>
      </c>
      <c r="F33" s="20" t="s">
        <v>453</v>
      </c>
      <c r="G33" s="20" t="s">
        <v>752</v>
      </c>
      <c r="H33" s="20" t="s">
        <v>753</v>
      </c>
      <c r="I33" s="22" t="n">
        <v>3</v>
      </c>
      <c r="J33" s="29" t="n">
        <f aca="false">COUNTIF(İlanlar!$B$5:$B$47,"ACP*")</f>
        <v>3</v>
      </c>
      <c r="K33" s="20" t="s">
        <v>158</v>
      </c>
      <c r="L33" s="21" t="s">
        <v>339</v>
      </c>
    </row>
    <row r="34" customFormat="false" ht="51.75" hidden="false" customHeight="true" outlineLevel="0" collapsed="false">
      <c r="A34" s="20" t="s">
        <v>754</v>
      </c>
      <c r="B34" s="20" t="s">
        <v>750</v>
      </c>
      <c r="C34" s="20" t="s">
        <v>755</v>
      </c>
      <c r="D34" s="20" t="s">
        <v>129</v>
      </c>
      <c r="E34" s="20" t="s">
        <v>756</v>
      </c>
      <c r="F34" s="20" t="s">
        <v>453</v>
      </c>
      <c r="G34" s="20" t="s">
        <v>757</v>
      </c>
      <c r="H34" s="20" t="s">
        <v>758</v>
      </c>
      <c r="I34" s="22" t="n">
        <v>3</v>
      </c>
      <c r="J34" s="29" t="n">
        <f aca="false">COUNTIF(İlanlar!$B$5:$B$47,"CANCOM*")</f>
        <v>2</v>
      </c>
      <c r="K34" s="20" t="s">
        <v>158</v>
      </c>
      <c r="L34" s="21" t="s">
        <v>521</v>
      </c>
    </row>
    <row r="35" customFormat="false" ht="51.75" hidden="false" customHeight="true" outlineLevel="0" collapsed="false">
      <c r="A35" s="20" t="s">
        <v>759</v>
      </c>
      <c r="B35" s="20" t="s">
        <v>760</v>
      </c>
      <c r="C35" s="20" t="s">
        <v>332</v>
      </c>
      <c r="D35" s="20" t="s">
        <v>129</v>
      </c>
      <c r="E35" s="20" t="s">
        <v>761</v>
      </c>
      <c r="F35" s="20" t="s">
        <v>453</v>
      </c>
      <c r="G35" s="20" t="s">
        <v>762</v>
      </c>
      <c r="H35" s="20" t="s">
        <v>763</v>
      </c>
      <c r="I35" s="22" t="n">
        <v>3</v>
      </c>
      <c r="J35" s="29" t="n">
        <f aca="false">COUNTIF(İlanlar!$B$5:$B$47,"Messezentrum*")</f>
        <v>1</v>
      </c>
      <c r="K35" s="20" t="s">
        <v>158</v>
      </c>
      <c r="L35" s="21" t="s">
        <v>531</v>
      </c>
    </row>
    <row r="36" customFormat="false" ht="51.75" hidden="false" customHeight="true" outlineLevel="0" collapsed="false">
      <c r="A36" s="20" t="s">
        <v>764</v>
      </c>
      <c r="B36" s="20" t="s">
        <v>765</v>
      </c>
      <c r="C36" s="20" t="s">
        <v>766</v>
      </c>
      <c r="D36" s="20" t="s">
        <v>568</v>
      </c>
      <c r="E36" s="20" t="s">
        <v>767</v>
      </c>
      <c r="F36" s="20" t="s">
        <v>570</v>
      </c>
      <c r="G36" s="20" t="s">
        <v>768</v>
      </c>
      <c r="H36" s="20" t="s">
        <v>769</v>
      </c>
      <c r="I36" s="22" t="n">
        <v>3</v>
      </c>
      <c r="J36" s="29" t="n">
        <f aca="false">COUNTIF(İlanlar!$B$5:$B$47,"*Sheraton*")+COUNTIF(İlanlar!$B$5:$B$47,"Rosewood*")</f>
        <v>0</v>
      </c>
      <c r="K36" s="20" t="s">
        <v>770</v>
      </c>
      <c r="L36" s="21" t="s">
        <v>771</v>
      </c>
    </row>
    <row r="37" customFormat="false" ht="51.75" hidden="false" customHeight="true" outlineLevel="0" collapsed="false">
      <c r="A37" s="20" t="s">
        <v>772</v>
      </c>
      <c r="B37" s="20" t="s">
        <v>773</v>
      </c>
      <c r="C37" s="20" t="s">
        <v>774</v>
      </c>
      <c r="D37" s="20" t="s">
        <v>775</v>
      </c>
      <c r="E37" s="20" t="s">
        <v>776</v>
      </c>
      <c r="F37" s="20" t="s">
        <v>584</v>
      </c>
      <c r="G37" s="20" t="s">
        <v>777</v>
      </c>
      <c r="H37" s="20" t="s">
        <v>778</v>
      </c>
      <c r="I37" s="22" t="n">
        <v>3</v>
      </c>
      <c r="J37" s="30" t="n">
        <v>0</v>
      </c>
      <c r="K37" s="20" t="s">
        <v>779</v>
      </c>
      <c r="L37" s="21" t="s">
        <v>780</v>
      </c>
    </row>
    <row r="38" customFormat="false" ht="51.75" hidden="false" customHeight="true" outlineLevel="0" collapsed="false">
      <c r="A38" s="20" t="s">
        <v>781</v>
      </c>
      <c r="B38" s="20" t="s">
        <v>782</v>
      </c>
      <c r="C38" s="20" t="s">
        <v>783</v>
      </c>
      <c r="D38" s="20" t="s">
        <v>129</v>
      </c>
      <c r="E38" s="20" t="s">
        <v>784</v>
      </c>
      <c r="F38" s="20" t="s">
        <v>453</v>
      </c>
      <c r="G38" s="20" t="s">
        <v>785</v>
      </c>
      <c r="H38" s="20" t="s">
        <v>786</v>
      </c>
      <c r="I38" s="22" t="n">
        <v>3</v>
      </c>
      <c r="J38" s="29" t="n">
        <f aca="false">COUNTIF(İlanlar!$B$5:$B$47,"Otto Austria*")</f>
        <v>1</v>
      </c>
      <c r="K38" s="20" t="s">
        <v>158</v>
      </c>
      <c r="L38" s="21" t="s">
        <v>516</v>
      </c>
    </row>
    <row r="39" customFormat="false" ht="51.75" hidden="false" customHeight="true" outlineLevel="0" collapsed="false">
      <c r="A39" s="20" t="s">
        <v>787</v>
      </c>
      <c r="B39" s="20" t="s">
        <v>788</v>
      </c>
      <c r="C39" s="20" t="s">
        <v>332</v>
      </c>
      <c r="D39" s="20" t="s">
        <v>129</v>
      </c>
      <c r="E39" s="20" t="s">
        <v>789</v>
      </c>
      <c r="F39" s="20" t="s">
        <v>655</v>
      </c>
      <c r="G39" s="20" t="s">
        <v>790</v>
      </c>
      <c r="H39" s="20" t="s">
        <v>791</v>
      </c>
      <c r="I39" s="22" t="n">
        <v>3</v>
      </c>
      <c r="J39" s="29" t="n">
        <f aca="false">COUNTIF(İlanlar!$B$5:$B$47,"KPMG*")</f>
        <v>1</v>
      </c>
      <c r="K39" s="20" t="s">
        <v>158</v>
      </c>
      <c r="L39" s="21" t="s">
        <v>356</v>
      </c>
    </row>
    <row r="40" customFormat="false" ht="51.75" hidden="false" customHeight="true" outlineLevel="0" collapsed="false">
      <c r="A40" s="20" t="s">
        <v>418</v>
      </c>
      <c r="B40" s="20" t="s">
        <v>792</v>
      </c>
      <c r="C40" s="20" t="s">
        <v>793</v>
      </c>
      <c r="D40" s="20" t="s">
        <v>360</v>
      </c>
      <c r="E40" s="20" t="s">
        <v>794</v>
      </c>
      <c r="F40" s="20" t="s">
        <v>453</v>
      </c>
      <c r="G40" s="20" t="s">
        <v>795</v>
      </c>
      <c r="H40" s="20" t="s">
        <v>796</v>
      </c>
      <c r="I40" s="22" t="n">
        <v>3</v>
      </c>
      <c r="J40" s="29" t="n">
        <f aca="false">COUNTIF(İlanlar!$B$5:$B$47,"solbytech*")</f>
        <v>1</v>
      </c>
      <c r="K40" s="20" t="s">
        <v>158</v>
      </c>
      <c r="L40" s="21" t="s">
        <v>422</v>
      </c>
    </row>
    <row r="41" customFormat="false" ht="51.75" hidden="false" customHeight="true" outlineLevel="0" collapsed="false">
      <c r="A41" s="20" t="s">
        <v>797</v>
      </c>
      <c r="B41" s="20" t="s">
        <v>798</v>
      </c>
      <c r="C41" s="20" t="s">
        <v>799</v>
      </c>
      <c r="D41" s="20" t="s">
        <v>129</v>
      </c>
      <c r="E41" s="20" t="s">
        <v>800</v>
      </c>
      <c r="F41" s="20" t="s">
        <v>453</v>
      </c>
      <c r="G41" s="20" t="s">
        <v>801</v>
      </c>
      <c r="H41" s="20" t="s">
        <v>802</v>
      </c>
      <c r="I41" s="22" t="n">
        <v>3</v>
      </c>
      <c r="J41" s="29" t="n">
        <f aca="false">COUNTIF(İlanlar!$B$5:$B$47,"NTS*")</f>
        <v>1</v>
      </c>
      <c r="K41" s="20" t="s">
        <v>454</v>
      </c>
      <c r="L41" s="21" t="s">
        <v>483</v>
      </c>
    </row>
    <row r="42" customFormat="false" ht="51.75" hidden="false" customHeight="true" outlineLevel="0" collapsed="false">
      <c r="A42" s="20" t="s">
        <v>803</v>
      </c>
      <c r="B42" s="20" t="s">
        <v>804</v>
      </c>
      <c r="C42" s="20" t="s">
        <v>805</v>
      </c>
      <c r="D42" s="20" t="s">
        <v>360</v>
      </c>
      <c r="E42" s="20" t="s">
        <v>806</v>
      </c>
      <c r="F42" s="20" t="s">
        <v>453</v>
      </c>
      <c r="G42" s="20" t="s">
        <v>807</v>
      </c>
      <c r="H42" s="20" t="s">
        <v>808</v>
      </c>
      <c r="I42" s="22" t="n">
        <v>2</v>
      </c>
      <c r="J42" s="30" t="n">
        <v>0</v>
      </c>
      <c r="K42" s="20" t="s">
        <v>809</v>
      </c>
      <c r="L42" s="21" t="s">
        <v>810</v>
      </c>
    </row>
    <row r="43" customFormat="false" ht="51.75" hidden="false" customHeight="true" outlineLevel="0" collapsed="false">
      <c r="A43" s="20" t="s">
        <v>811</v>
      </c>
      <c r="B43" s="20" t="s">
        <v>699</v>
      </c>
      <c r="C43" s="20" t="s">
        <v>332</v>
      </c>
      <c r="D43" s="20" t="s">
        <v>129</v>
      </c>
      <c r="E43" s="20" t="s">
        <v>812</v>
      </c>
      <c r="F43" s="20" t="s">
        <v>453</v>
      </c>
      <c r="G43" s="20" t="s">
        <v>813</v>
      </c>
      <c r="H43" s="20" t="s">
        <v>808</v>
      </c>
      <c r="I43" s="22" t="n">
        <v>2</v>
      </c>
      <c r="J43" s="30" t="n">
        <v>0</v>
      </c>
      <c r="K43" s="20" t="s">
        <v>809</v>
      </c>
      <c r="L43" s="21" t="s">
        <v>814</v>
      </c>
    </row>
    <row r="44" customFormat="false" ht="51.75" hidden="false" customHeight="true" outlineLevel="0" collapsed="false">
      <c r="A44" s="20" t="s">
        <v>815</v>
      </c>
      <c r="B44" s="20" t="s">
        <v>816</v>
      </c>
      <c r="C44" s="20" t="s">
        <v>332</v>
      </c>
      <c r="D44" s="20" t="s">
        <v>129</v>
      </c>
      <c r="E44" s="20" t="s">
        <v>817</v>
      </c>
      <c r="F44" s="20" t="s">
        <v>818</v>
      </c>
      <c r="G44" s="20" t="s">
        <v>819</v>
      </c>
      <c r="H44" s="20" t="s">
        <v>820</v>
      </c>
      <c r="I44" s="22" t="n">
        <v>2</v>
      </c>
      <c r="J44" s="29" t="n">
        <f aca="false">COUNTIF(İlanlar!$B$5:$B$47,"Universität Salzburg*")</f>
        <v>0</v>
      </c>
      <c r="K44" s="20" t="s">
        <v>821</v>
      </c>
      <c r="L44" s="21" t="s">
        <v>822</v>
      </c>
    </row>
    <row r="45" customFormat="false" ht="51.75" hidden="false" customHeight="true" outlineLevel="0" collapsed="false">
      <c r="A45" s="20" t="s">
        <v>823</v>
      </c>
      <c r="B45" s="20" t="s">
        <v>824</v>
      </c>
      <c r="C45" s="20" t="s">
        <v>332</v>
      </c>
      <c r="D45" s="20" t="s">
        <v>129</v>
      </c>
      <c r="E45" s="20" t="s">
        <v>776</v>
      </c>
      <c r="F45" s="20" t="s">
        <v>453</v>
      </c>
      <c r="G45" s="20" t="s">
        <v>825</v>
      </c>
      <c r="H45" s="20" t="s">
        <v>778</v>
      </c>
      <c r="I45" s="22" t="n">
        <v>2</v>
      </c>
      <c r="J45" s="30" t="n">
        <v>0</v>
      </c>
      <c r="K45" s="20" t="s">
        <v>809</v>
      </c>
      <c r="L45" s="21" t="s">
        <v>826</v>
      </c>
    </row>
    <row r="46" customFormat="false" ht="51.75" hidden="false" customHeight="true" outlineLevel="0" collapsed="false">
      <c r="A46" s="20" t="s">
        <v>827</v>
      </c>
      <c r="B46" s="20" t="s">
        <v>792</v>
      </c>
      <c r="C46" s="20" t="s">
        <v>793</v>
      </c>
      <c r="D46" s="20" t="s">
        <v>360</v>
      </c>
      <c r="E46" s="20" t="s">
        <v>828</v>
      </c>
      <c r="F46" s="20" t="s">
        <v>453</v>
      </c>
      <c r="G46" s="20" t="s">
        <v>829</v>
      </c>
      <c r="H46" s="20" t="s">
        <v>664</v>
      </c>
      <c r="I46" s="22" t="n">
        <v>2</v>
      </c>
      <c r="J46" s="29" t="n">
        <f aca="false">COUNTIF(İlanlar!$B$5:$B$47,"mindsetters*")</f>
        <v>0</v>
      </c>
      <c r="K46" s="20" t="s">
        <v>664</v>
      </c>
      <c r="L46" s="21" t="s">
        <v>830</v>
      </c>
    </row>
  </sheetData>
  <autoFilter ref="A4:L46"/>
  <conditionalFormatting sqref="I5:I46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hyperlinks>
    <hyperlink ref="L5" r:id="rId1" display="https://jobs.redbull.com"/>
    <hyperlink ref="L6" r:id="rId2" display="https://jobs.palfinger.com/en-us"/>
    <hyperlink ref="L7" r:id="rId3" display="https://jobs.ktm.com/Jobs"/>
    <hyperlink ref="L8" r:id="rId4" display="https://jobs.volkswagen-group.com/PHS/?locale=en_US"/>
    <hyperlink ref="L9" r:id="rId5" display="https://www.spar-ics.com/en/career/work-ics/open-positions-all"/>
    <hyperlink ref="L10" r:id="rId6" display="https://www.dm.at/unternehmen/karriere"/>
    <hyperlink ref="L11" r:id="rId7" display="https://karriere.salzburg-ag.at/stellenangebote.html"/>
    <hyperlink ref="L12" r:id="rId8" display="https://www.conova.com/karriere/"/>
    <hyperlink ref="L13" r:id="rId9" display="https://www.wuestenrot.at/de/ueber-uns/karriere/offene-stellen.html"/>
    <hyperlink ref="L14" r:id="rId10" display="https://careers.lamresearch.com"/>
    <hyperlink ref="L15" r:id="rId11" display="http://www.skidata.com/en/career.html"/>
    <hyperlink ref="L16" r:id="rId12" display="https://www.karriere.at/jobs/senoplast"/>
    <hyperlink ref="L17" r:id="rId13" display="https://hai.jobs/"/>
    <hyperlink ref="L18" r:id="rId14" display="https://careers.novataste.com/"/>
    <hyperlink ref="L19" r:id="rId15" display="https://joinus.inditexcareers.com/en/austria/"/>
    <hyperlink ref="L20" r:id="rId16" display="https://x-tention.com/de-AT/job/senior-cyber-security-consultant-project-manager-mwd"/>
    <hyperlink ref="L21" r:id="rId17" display="https://www.dorida.at/karriere/"/>
    <hyperlink ref="L22" r:id="rId18" display="https://www.copadata.com/en/career/jobs"/>
    <hyperlink ref="L23" r:id="rId19" display="https://www.br-automation.com/en/career/"/>
    <hyperlink ref="L24" r:id="rId20" display="https://www.bmwgroup.jobs/at/en.html"/>
    <hyperlink ref="L25" r:id="rId21" display="https://rvs.bewerberportal.at/Jobs"/>
    <hyperlink ref="L26" r:id="rId22" display="https://www.spaengler.at/bankhaus/karriere/"/>
    <hyperlink ref="L27" r:id="rId23" display="https://www.kaindl.com/en/careers/job-offers/"/>
    <hyperlink ref="L28" r:id="rId24" display="https://www.liebherr.com/de-at/firmengruppe/standort/bischofshofen-karriere-4445573"/>
    <hyperlink ref="L29" r:id="rId25" display="https://www.amag-al4u.com/en/career/open-positions"/>
    <hyperlink ref="L30" r:id="rId26" display="https://salk.at/jobs/"/>
    <hyperlink ref="L31" r:id="rId27" display="https://karriere.pmu.ac.at/"/>
    <hyperlink ref="L32" r:id="rId28" display="https://www.lagermax.com/de-at/karriere/offene-jobs/"/>
    <hyperlink ref="L33" r:id="rId29" display="https://karriere.acp.at/salzburg"/>
    <hyperlink ref="L34" r:id="rId30" display="https://jobs.cancom.com/"/>
    <hyperlink ref="L35" r:id="rId31" display="https://messezentrum-salzburg-gmbh.jobs.personio.de/?language=de"/>
    <hyperlink ref="L36" r:id="rId32" display="https://careers.rosewoodhotelgroup.com/"/>
    <hyperlink ref="L37" r:id="rId33" display="https://www.bwt.com/"/>
    <hyperlink ref="L38" r:id="rId34" display="https://www.ottoaustriagroup.at/"/>
    <hyperlink ref="L39" r:id="rId35" display="https://kpmg.com/at/de/careers.html"/>
    <hyperlink ref="L40" r:id="rId36" display="https://solbytech.at/unternehmen/jobs/"/>
    <hyperlink ref="L41" r:id="rId37" display="https://www.nts.eu/en/jobs/"/>
    <hyperlink ref="L42" r:id="rId38" display="https://www.mercedes-benz.at/passengercars/brand/career.html"/>
    <hyperlink ref="L43" r:id="rId39" display="https://www.sparkasse.at/salzburg/karriere_start/stellenangebote"/>
    <hyperlink ref="L44" r:id="rId40" display="https://karriere.plus.ac.at/de/"/>
    <hyperlink ref="L45" r:id="rId41" display="https://www.cgm.com/"/>
    <hyperlink ref="L46" r:id="rId42" display="https://www.mindsetters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42"/>
    <col collapsed="false" customWidth="true" hidden="false" outlineLevel="0" max="4" min="4" style="0" width="32"/>
    <col collapsed="false" customWidth="true" hidden="false" outlineLevel="0" max="5" min="5" style="0" width="11"/>
    <col collapsed="false" customWidth="true" hidden="false" outlineLevel="0" max="6" min="6" style="0" width="40"/>
    <col collapsed="false" customWidth="true" hidden="false" outlineLevel="0" max="7" min="7" style="0" width="42"/>
    <col collapsed="false" customWidth="true" hidden="false" outlineLevel="0" max="8" min="8" style="0" width="46"/>
  </cols>
  <sheetData>
    <row r="1" customFormat="false" ht="17.35" hidden="false" customHeight="false" outlineLevel="0" collapsed="false">
      <c r="A1" s="17" t="s">
        <v>831</v>
      </c>
    </row>
    <row r="2" customFormat="false" ht="15" hidden="false" customHeight="false" outlineLevel="0" collapsed="false">
      <c r="A2" s="2" t="s">
        <v>832</v>
      </c>
    </row>
    <row r="4" customFormat="false" ht="35.05" hidden="false" customHeight="false" outlineLevel="0" collapsed="false">
      <c r="A4" s="19" t="s">
        <v>65</v>
      </c>
      <c r="B4" s="19" t="s">
        <v>833</v>
      </c>
      <c r="C4" s="19" t="s">
        <v>834</v>
      </c>
      <c r="D4" s="19" t="s">
        <v>835</v>
      </c>
      <c r="E4" s="19" t="s">
        <v>836</v>
      </c>
      <c r="F4" s="19" t="s">
        <v>837</v>
      </c>
      <c r="G4" s="19" t="s">
        <v>838</v>
      </c>
      <c r="H4" s="19" t="s">
        <v>839</v>
      </c>
    </row>
    <row r="5" customFormat="false" ht="43.5" hidden="false" customHeight="true" outlineLevel="0" collapsed="false">
      <c r="A5" s="20" t="s">
        <v>840</v>
      </c>
      <c r="B5" s="20" t="s">
        <v>841</v>
      </c>
      <c r="C5" s="20" t="s">
        <v>842</v>
      </c>
      <c r="D5" s="20" t="s">
        <v>843</v>
      </c>
      <c r="E5" s="22" t="n">
        <v>5</v>
      </c>
      <c r="F5" s="20" t="s">
        <v>844</v>
      </c>
      <c r="G5" s="21" t="s">
        <v>845</v>
      </c>
      <c r="H5" s="20" t="s">
        <v>846</v>
      </c>
    </row>
    <row r="6" customFormat="false" ht="43.5" hidden="false" customHeight="true" outlineLevel="0" collapsed="false">
      <c r="A6" s="20" t="s">
        <v>847</v>
      </c>
      <c r="B6" s="20" t="s">
        <v>848</v>
      </c>
      <c r="C6" s="20" t="s">
        <v>849</v>
      </c>
      <c r="D6" s="20" t="s">
        <v>850</v>
      </c>
      <c r="E6" s="22" t="n">
        <v>5</v>
      </c>
      <c r="F6" s="20" t="s">
        <v>851</v>
      </c>
      <c r="G6" s="21" t="s">
        <v>852</v>
      </c>
      <c r="H6" s="20" t="s">
        <v>853</v>
      </c>
    </row>
    <row r="7" customFormat="false" ht="43.5" hidden="false" customHeight="true" outlineLevel="0" collapsed="false">
      <c r="A7" s="20" t="s">
        <v>854</v>
      </c>
      <c r="B7" s="20" t="s">
        <v>855</v>
      </c>
      <c r="C7" s="20" t="s">
        <v>332</v>
      </c>
      <c r="D7" s="20" t="s">
        <v>856</v>
      </c>
      <c r="E7" s="22" t="n">
        <v>5</v>
      </c>
      <c r="F7" s="20" t="s">
        <v>857</v>
      </c>
      <c r="G7" s="21" t="s">
        <v>223</v>
      </c>
      <c r="H7" s="20" t="s">
        <v>858</v>
      </c>
    </row>
    <row r="8" customFormat="false" ht="43.5" hidden="false" customHeight="true" outlineLevel="0" collapsed="false">
      <c r="A8" s="20" t="s">
        <v>859</v>
      </c>
      <c r="B8" s="20" t="s">
        <v>860</v>
      </c>
      <c r="C8" s="20" t="s">
        <v>861</v>
      </c>
      <c r="D8" s="20" t="s">
        <v>862</v>
      </c>
      <c r="E8" s="22" t="n">
        <v>5</v>
      </c>
      <c r="F8" s="20" t="s">
        <v>863</v>
      </c>
      <c r="G8" s="21" t="s">
        <v>864</v>
      </c>
      <c r="H8" s="20" t="s">
        <v>865</v>
      </c>
    </row>
    <row r="9" customFormat="false" ht="43.5" hidden="false" customHeight="true" outlineLevel="0" collapsed="false">
      <c r="A9" s="20" t="s">
        <v>866</v>
      </c>
      <c r="B9" s="20" t="s">
        <v>867</v>
      </c>
      <c r="C9" s="20" t="s">
        <v>868</v>
      </c>
      <c r="D9" s="20" t="s">
        <v>869</v>
      </c>
      <c r="E9" s="22" t="n">
        <v>5</v>
      </c>
      <c r="F9" s="20" t="s">
        <v>870</v>
      </c>
      <c r="G9" s="21" t="s">
        <v>201</v>
      </c>
      <c r="H9" s="20" t="s">
        <v>871</v>
      </c>
    </row>
    <row r="10" customFormat="false" ht="43.5" hidden="false" customHeight="true" outlineLevel="0" collapsed="false">
      <c r="A10" s="20" t="s">
        <v>384</v>
      </c>
      <c r="B10" s="20" t="s">
        <v>872</v>
      </c>
      <c r="C10" s="20" t="s">
        <v>873</v>
      </c>
      <c r="D10" s="20" t="s">
        <v>874</v>
      </c>
      <c r="E10" s="22" t="n">
        <v>4</v>
      </c>
      <c r="F10" s="20" t="s">
        <v>385</v>
      </c>
      <c r="G10" s="21" t="s">
        <v>875</v>
      </c>
      <c r="H10" s="20" t="s">
        <v>876</v>
      </c>
    </row>
    <row r="11" customFormat="false" ht="43.5" hidden="false" customHeight="true" outlineLevel="0" collapsed="false">
      <c r="A11" s="20" t="s">
        <v>877</v>
      </c>
      <c r="B11" s="20" t="s">
        <v>841</v>
      </c>
      <c r="C11" s="20" t="s">
        <v>878</v>
      </c>
      <c r="D11" s="20" t="s">
        <v>879</v>
      </c>
      <c r="E11" s="22" t="n">
        <v>4</v>
      </c>
      <c r="F11" s="20" t="s">
        <v>113</v>
      </c>
      <c r="G11" s="21" t="s">
        <v>880</v>
      </c>
      <c r="H11" s="20" t="s">
        <v>881</v>
      </c>
    </row>
    <row r="12" customFormat="false" ht="43.5" hidden="false" customHeight="true" outlineLevel="0" collapsed="false">
      <c r="A12" s="20" t="s">
        <v>882</v>
      </c>
      <c r="B12" s="20" t="s">
        <v>883</v>
      </c>
      <c r="C12" s="20" t="s">
        <v>884</v>
      </c>
      <c r="D12" s="20" t="s">
        <v>885</v>
      </c>
      <c r="E12" s="22" t="n">
        <v>4</v>
      </c>
      <c r="F12" s="20" t="s">
        <v>113</v>
      </c>
      <c r="G12" s="21" t="s">
        <v>886</v>
      </c>
      <c r="H12" s="20" t="s">
        <v>887</v>
      </c>
    </row>
    <row r="13" customFormat="false" ht="43.5" hidden="false" customHeight="true" outlineLevel="0" collapsed="false">
      <c r="A13" s="20" t="s">
        <v>888</v>
      </c>
      <c r="B13" s="20" t="s">
        <v>889</v>
      </c>
      <c r="C13" s="20" t="s">
        <v>890</v>
      </c>
      <c r="D13" s="20" t="s">
        <v>891</v>
      </c>
      <c r="E13" s="22" t="n">
        <v>4</v>
      </c>
      <c r="F13" s="20" t="s">
        <v>113</v>
      </c>
      <c r="G13" s="21" t="s">
        <v>892</v>
      </c>
      <c r="H13" s="20" t="s">
        <v>893</v>
      </c>
    </row>
    <row r="14" customFormat="false" ht="43.5" hidden="false" customHeight="true" outlineLevel="0" collapsed="false">
      <c r="A14" s="20" t="s">
        <v>894</v>
      </c>
      <c r="B14" s="20" t="s">
        <v>889</v>
      </c>
      <c r="C14" s="20" t="s">
        <v>332</v>
      </c>
      <c r="D14" s="20" t="s">
        <v>895</v>
      </c>
      <c r="E14" s="22" t="n">
        <v>4</v>
      </c>
      <c r="F14" s="20" t="s">
        <v>113</v>
      </c>
      <c r="G14" s="21" t="s">
        <v>896</v>
      </c>
      <c r="H14" s="20" t="s">
        <v>897</v>
      </c>
    </row>
    <row r="15" customFormat="false" ht="43.5" hidden="false" customHeight="true" outlineLevel="0" collapsed="false">
      <c r="A15" s="20" t="s">
        <v>898</v>
      </c>
      <c r="B15" s="20" t="s">
        <v>883</v>
      </c>
      <c r="C15" s="20" t="s">
        <v>899</v>
      </c>
      <c r="D15" s="20" t="s">
        <v>900</v>
      </c>
      <c r="E15" s="22" t="n">
        <v>3</v>
      </c>
      <c r="F15" s="20" t="s">
        <v>901</v>
      </c>
      <c r="G15" s="21" t="s">
        <v>902</v>
      </c>
      <c r="H15" s="20" t="s">
        <v>903</v>
      </c>
    </row>
    <row r="16" customFormat="false" ht="43.5" hidden="false" customHeight="true" outlineLevel="0" collapsed="false">
      <c r="A16" s="20" t="s">
        <v>904</v>
      </c>
      <c r="B16" s="20" t="s">
        <v>905</v>
      </c>
      <c r="C16" s="20" t="s">
        <v>906</v>
      </c>
      <c r="D16" s="20" t="s">
        <v>907</v>
      </c>
      <c r="E16" s="22" t="n">
        <v>3</v>
      </c>
      <c r="F16" s="20" t="s">
        <v>908</v>
      </c>
      <c r="G16" s="21" t="s">
        <v>406</v>
      </c>
      <c r="H16" s="20" t="s">
        <v>909</v>
      </c>
    </row>
    <row r="17" customFormat="false" ht="43.5" hidden="false" customHeight="true" outlineLevel="0" collapsed="false">
      <c r="A17" s="20" t="s">
        <v>910</v>
      </c>
      <c r="B17" s="20" t="s">
        <v>911</v>
      </c>
      <c r="C17" s="20" t="s">
        <v>912</v>
      </c>
      <c r="D17" s="20" t="s">
        <v>913</v>
      </c>
      <c r="E17" s="22" t="n">
        <v>3</v>
      </c>
      <c r="F17" s="20" t="s">
        <v>914</v>
      </c>
      <c r="G17" s="21" t="s">
        <v>915</v>
      </c>
      <c r="H17" s="20" t="s">
        <v>916</v>
      </c>
    </row>
    <row r="18" customFormat="false" ht="43.5" hidden="false" customHeight="true" outlineLevel="0" collapsed="false">
      <c r="A18" s="20" t="s">
        <v>917</v>
      </c>
      <c r="B18" s="20" t="s">
        <v>918</v>
      </c>
      <c r="C18" s="20" t="s">
        <v>332</v>
      </c>
      <c r="D18" s="20" t="s">
        <v>919</v>
      </c>
      <c r="E18" s="22" t="n">
        <v>3</v>
      </c>
      <c r="F18" s="20" t="s">
        <v>113</v>
      </c>
      <c r="G18" s="21" t="s">
        <v>920</v>
      </c>
      <c r="H18" s="20" t="s">
        <v>921</v>
      </c>
    </row>
    <row r="19" customFormat="false" ht="43.5" hidden="false" customHeight="true" outlineLevel="0" collapsed="false">
      <c r="A19" s="20" t="s">
        <v>922</v>
      </c>
      <c r="B19" s="20" t="s">
        <v>918</v>
      </c>
      <c r="C19" s="20" t="s">
        <v>332</v>
      </c>
      <c r="D19" s="20" t="s">
        <v>923</v>
      </c>
      <c r="E19" s="22" t="n">
        <v>3</v>
      </c>
      <c r="F19" s="20" t="s">
        <v>924</v>
      </c>
      <c r="G19" s="21" t="s">
        <v>925</v>
      </c>
      <c r="H19" s="20" t="s">
        <v>926</v>
      </c>
    </row>
    <row r="20" customFormat="false" ht="43.5" hidden="false" customHeight="true" outlineLevel="0" collapsed="false">
      <c r="A20" s="20" t="s">
        <v>927</v>
      </c>
      <c r="B20" s="20" t="s">
        <v>928</v>
      </c>
      <c r="C20" s="20" t="s">
        <v>332</v>
      </c>
      <c r="D20" s="20" t="s">
        <v>929</v>
      </c>
      <c r="E20" s="22" t="n">
        <v>3</v>
      </c>
      <c r="F20" s="20" t="s">
        <v>113</v>
      </c>
      <c r="G20" s="21" t="s">
        <v>930</v>
      </c>
      <c r="H20" s="20" t="s">
        <v>113</v>
      </c>
    </row>
    <row r="21" customFormat="false" ht="43.5" hidden="false" customHeight="true" outlineLevel="0" collapsed="false">
      <c r="A21" s="20" t="s">
        <v>931</v>
      </c>
      <c r="B21" s="20" t="s">
        <v>932</v>
      </c>
      <c r="C21" s="20" t="s">
        <v>933</v>
      </c>
      <c r="D21" s="20" t="s">
        <v>934</v>
      </c>
      <c r="E21" s="22" t="n">
        <v>3</v>
      </c>
      <c r="F21" s="20" t="s">
        <v>113</v>
      </c>
      <c r="G21" s="21" t="s">
        <v>935</v>
      </c>
      <c r="H21" s="20" t="s">
        <v>936</v>
      </c>
    </row>
    <row r="22" customFormat="false" ht="43.5" hidden="false" customHeight="true" outlineLevel="0" collapsed="false">
      <c r="A22" s="20" t="s">
        <v>937</v>
      </c>
      <c r="B22" s="20" t="s">
        <v>938</v>
      </c>
      <c r="C22" s="20" t="s">
        <v>939</v>
      </c>
      <c r="D22" s="20" t="s">
        <v>940</v>
      </c>
      <c r="E22" s="22" t="n">
        <v>3</v>
      </c>
      <c r="F22" s="20" t="s">
        <v>113</v>
      </c>
      <c r="G22" s="21" t="s">
        <v>941</v>
      </c>
      <c r="H22" s="20" t="s">
        <v>942</v>
      </c>
    </row>
    <row r="23" customFormat="false" ht="43.5" hidden="false" customHeight="true" outlineLevel="0" collapsed="false">
      <c r="A23" s="20" t="s">
        <v>943</v>
      </c>
      <c r="B23" s="20" t="s">
        <v>883</v>
      </c>
      <c r="C23" s="20" t="s">
        <v>332</v>
      </c>
      <c r="D23" s="20" t="s">
        <v>944</v>
      </c>
      <c r="E23" s="22" t="n">
        <v>2</v>
      </c>
      <c r="F23" s="20" t="s">
        <v>113</v>
      </c>
      <c r="G23" s="21" t="s">
        <v>945</v>
      </c>
      <c r="H23" s="20" t="s">
        <v>113</v>
      </c>
    </row>
    <row r="24" customFormat="false" ht="43.5" hidden="false" customHeight="true" outlineLevel="0" collapsed="false">
      <c r="A24" s="20" t="s">
        <v>946</v>
      </c>
      <c r="B24" s="20" t="s">
        <v>947</v>
      </c>
      <c r="C24" s="20" t="s">
        <v>948</v>
      </c>
      <c r="D24" s="20" t="s">
        <v>949</v>
      </c>
      <c r="E24" s="22" t="n">
        <v>2</v>
      </c>
      <c r="F24" s="20" t="s">
        <v>113</v>
      </c>
      <c r="G24" s="21" t="s">
        <v>950</v>
      </c>
      <c r="H24" s="20" t="s">
        <v>113</v>
      </c>
    </row>
  </sheetData>
  <autoFilter ref="A4:H24"/>
  <conditionalFormatting sqref="E5:E24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hyperlinks>
    <hyperlink ref="G5" r:id="rId1" display="https://www.schulmeister-consulting.com/de/fuer-bewerberinnen/jobs-finden"/>
    <hyperlink ref="G6" r:id="rId2" display="https://www.epunkt.com/standort/salzburg/"/>
    <hyperlink ref="G7" r:id="rId3" display="https://www.techsearch.at/jobs/269996-SPTS/it-team-leiter-w-m-d"/>
    <hyperlink ref="G8" r:id="rId4" display="https://jobs.ams.at/"/>
    <hyperlink ref="G9" r:id="rId5" display="https://www.kern-partner.at/jobs.html"/>
    <hyperlink ref="G10" r:id="rId6" display="https://www.gointerim.com/"/>
    <hyperlink ref="G11" r:id="rId7" display="https://www.iventa.eu/"/>
    <hyperlink ref="G12" r:id="rId8" display="https://www.rehrl.at/"/>
    <hyperlink ref="G13" r:id="rId9" display="https://www.hapeko.at/standorte/salzburg"/>
    <hyperlink ref="G14" r:id="rId10" display="https://www.mbmc.at/personalberatung/salzburg/"/>
    <hyperlink ref="G15" r:id="rId11" display="https://tntpersonal.at/jobs-stellenanzeigen/"/>
    <hyperlink ref="G16" r:id="rId12" display="https://www.grinnberg.de/it-jobs"/>
    <hyperlink ref="G17" r:id="rId13" display="https://at.trenkwalder.com/standorte/salzburg"/>
    <hyperlink ref="G18" r:id="rId14" display="https://www.tti.at/"/>
    <hyperlink ref="G19" r:id="rId15" display="https://www.manpower.at/jobs/it-administrator/salzburg"/>
    <hyperlink ref="G20" r:id="rId16" display="https://globe.at/en/company/standorte/personalvermittlung-und-personalberatung-salzburg/"/>
    <hyperlink ref="G21" r:id="rId17" display="https://www.hays.at/personaldienstleister/fachgebiet-information-technology"/>
    <hyperlink ref="G22" r:id="rId18" display="https://www.michaelpage.com/"/>
    <hyperlink ref="G23" r:id="rId19" display="https://www.pernergroup.com/de/fuer-unternehmen/personalberatung"/>
    <hyperlink ref="G24" r:id="rId20" display="https://www.rkmanagement.at/leistungen-fuer-ihr-unternehmen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4" min="4" style="0" width="60"/>
    <col collapsed="false" customWidth="true" hidden="false" outlineLevel="0" max="5" min="5" style="0" width="56"/>
  </cols>
  <sheetData>
    <row r="1" customFormat="false" ht="17.35" hidden="false" customHeight="false" outlineLevel="0" collapsed="false">
      <c r="A1" s="17" t="s">
        <v>951</v>
      </c>
    </row>
    <row r="3" customFormat="false" ht="15" hidden="false" customHeight="false" outlineLevel="0" collapsed="false">
      <c r="A3" s="19" t="s">
        <v>952</v>
      </c>
      <c r="B3" s="19" t="s">
        <v>18</v>
      </c>
      <c r="C3" s="19" t="s">
        <v>69</v>
      </c>
      <c r="D3" s="19" t="s">
        <v>953</v>
      </c>
      <c r="E3" s="19" t="s">
        <v>954</v>
      </c>
    </row>
    <row r="4" customFormat="false" ht="30" hidden="false" customHeight="true" outlineLevel="0" collapsed="false">
      <c r="A4" s="20" t="s">
        <v>955</v>
      </c>
      <c r="B4" s="20" t="s">
        <v>956</v>
      </c>
      <c r="C4" s="20" t="s">
        <v>957</v>
      </c>
      <c r="D4" s="21" t="s">
        <v>958</v>
      </c>
      <c r="E4" s="20" t="s">
        <v>959</v>
      </c>
    </row>
    <row r="5" customFormat="false" ht="30" hidden="false" customHeight="true" outlineLevel="0" collapsed="false">
      <c r="A5" s="20" t="s">
        <v>960</v>
      </c>
      <c r="B5" s="20" t="s">
        <v>961</v>
      </c>
      <c r="C5" s="20" t="s">
        <v>43</v>
      </c>
      <c r="D5" s="21" t="s">
        <v>962</v>
      </c>
      <c r="E5" s="20" t="s">
        <v>963</v>
      </c>
    </row>
    <row r="6" customFormat="false" ht="30" hidden="false" customHeight="true" outlineLevel="0" collapsed="false">
      <c r="A6" s="20" t="s">
        <v>964</v>
      </c>
      <c r="B6" s="20" t="s">
        <v>965</v>
      </c>
      <c r="C6" s="20" t="s">
        <v>966</v>
      </c>
      <c r="D6" s="21" t="s">
        <v>967</v>
      </c>
      <c r="E6" s="20" t="s">
        <v>968</v>
      </c>
    </row>
    <row r="7" customFormat="false" ht="30" hidden="false" customHeight="true" outlineLevel="0" collapsed="false">
      <c r="A7" s="20" t="s">
        <v>969</v>
      </c>
      <c r="B7" s="20" t="s">
        <v>970</v>
      </c>
      <c r="C7" s="20" t="s">
        <v>43</v>
      </c>
      <c r="D7" s="21" t="s">
        <v>971</v>
      </c>
      <c r="E7" s="20" t="s">
        <v>113</v>
      </c>
    </row>
    <row r="8" customFormat="false" ht="30" hidden="false" customHeight="true" outlineLevel="0" collapsed="false">
      <c r="A8" s="20" t="s">
        <v>972</v>
      </c>
      <c r="B8" s="20" t="s">
        <v>973</v>
      </c>
      <c r="C8" s="20" t="s">
        <v>966</v>
      </c>
      <c r="D8" s="21" t="s">
        <v>974</v>
      </c>
      <c r="E8" s="20" t="s">
        <v>975</v>
      </c>
    </row>
    <row r="9" customFormat="false" ht="30" hidden="false" customHeight="true" outlineLevel="0" collapsed="false">
      <c r="A9" s="20" t="s">
        <v>976</v>
      </c>
      <c r="B9" s="20" t="s">
        <v>977</v>
      </c>
      <c r="C9" s="20" t="s">
        <v>37</v>
      </c>
      <c r="D9" s="21" t="s">
        <v>978</v>
      </c>
      <c r="E9" s="20" t="s">
        <v>979</v>
      </c>
    </row>
    <row r="10" customFormat="false" ht="30" hidden="false" customHeight="true" outlineLevel="0" collapsed="false">
      <c r="A10" s="20" t="s">
        <v>980</v>
      </c>
      <c r="B10" s="20" t="s">
        <v>981</v>
      </c>
      <c r="C10" s="20" t="s">
        <v>37</v>
      </c>
      <c r="D10" s="21" t="s">
        <v>982</v>
      </c>
      <c r="E10" s="20" t="s">
        <v>983</v>
      </c>
    </row>
    <row r="11" customFormat="false" ht="30" hidden="false" customHeight="true" outlineLevel="0" collapsed="false">
      <c r="A11" s="20" t="s">
        <v>984</v>
      </c>
      <c r="B11" s="20" t="s">
        <v>985</v>
      </c>
      <c r="C11" s="20" t="s">
        <v>986</v>
      </c>
      <c r="D11" s="21" t="s">
        <v>987</v>
      </c>
      <c r="E11" s="20" t="s">
        <v>988</v>
      </c>
    </row>
    <row r="12" customFormat="false" ht="30" hidden="false" customHeight="true" outlineLevel="0" collapsed="false">
      <c r="A12" s="20" t="s">
        <v>989</v>
      </c>
      <c r="B12" s="20" t="s">
        <v>985</v>
      </c>
      <c r="C12" s="20" t="s">
        <v>986</v>
      </c>
      <c r="D12" s="21" t="s">
        <v>990</v>
      </c>
      <c r="E12" s="20" t="s">
        <v>991</v>
      </c>
    </row>
    <row r="13" customFormat="false" ht="30" hidden="false" customHeight="true" outlineLevel="0" collapsed="false">
      <c r="A13" s="20" t="s">
        <v>992</v>
      </c>
      <c r="B13" s="20" t="s">
        <v>993</v>
      </c>
      <c r="C13" s="20" t="s">
        <v>43</v>
      </c>
      <c r="D13" s="21" t="s">
        <v>864</v>
      </c>
      <c r="E13" s="20" t="s">
        <v>994</v>
      </c>
    </row>
    <row r="14" customFormat="false" ht="30" hidden="false" customHeight="true" outlineLevel="0" collapsed="false">
      <c r="A14" s="20" t="s">
        <v>995</v>
      </c>
      <c r="B14" s="20" t="s">
        <v>996</v>
      </c>
      <c r="C14" s="20" t="s">
        <v>966</v>
      </c>
      <c r="D14" s="21" t="s">
        <v>997</v>
      </c>
      <c r="E14" s="20" t="s">
        <v>998</v>
      </c>
    </row>
    <row r="15" customFormat="false" ht="30" hidden="false" customHeight="true" outlineLevel="0" collapsed="false">
      <c r="A15" s="20" t="s">
        <v>999</v>
      </c>
      <c r="B15" s="20" t="s">
        <v>1000</v>
      </c>
      <c r="C15" s="20" t="s">
        <v>43</v>
      </c>
      <c r="D15" s="21" t="s">
        <v>1001</v>
      </c>
      <c r="E15" s="20" t="s">
        <v>1002</v>
      </c>
    </row>
    <row r="16" customFormat="false" ht="30" hidden="false" customHeight="true" outlineLevel="0" collapsed="false">
      <c r="A16" s="20" t="s">
        <v>1003</v>
      </c>
      <c r="B16" s="20" t="s">
        <v>1004</v>
      </c>
      <c r="C16" s="20" t="s">
        <v>986</v>
      </c>
      <c r="D16" s="20" t="s">
        <v>1005</v>
      </c>
      <c r="E16" s="20" t="s">
        <v>1006</v>
      </c>
    </row>
    <row r="18" customFormat="false" ht="15" hidden="false" customHeight="false" outlineLevel="0" collapsed="false">
      <c r="A18" s="31" t="s">
        <v>1007</v>
      </c>
    </row>
    <row r="19" customFormat="false" ht="15" hidden="false" customHeight="false" outlineLevel="0" collapsed="false">
      <c r="A19" s="7" t="s">
        <v>1008</v>
      </c>
      <c r="B19" s="7" t="s">
        <v>1009</v>
      </c>
    </row>
    <row r="20" customFormat="false" ht="15" hidden="false" customHeight="false" outlineLevel="0" collapsed="false">
      <c r="A20" s="7" t="s">
        <v>1008</v>
      </c>
      <c r="B20" s="7" t="s">
        <v>1010</v>
      </c>
    </row>
    <row r="21" customFormat="false" ht="15" hidden="false" customHeight="false" outlineLevel="0" collapsed="false">
      <c r="A21" s="7" t="s">
        <v>1008</v>
      </c>
      <c r="B21" s="7" t="s">
        <v>1011</v>
      </c>
    </row>
    <row r="22" customFormat="false" ht="15" hidden="false" customHeight="false" outlineLevel="0" collapsed="false">
      <c r="A22" s="7" t="s">
        <v>1008</v>
      </c>
      <c r="B22" s="7" t="s">
        <v>1012</v>
      </c>
    </row>
    <row r="23" customFormat="false" ht="15" hidden="false" customHeight="false" outlineLevel="0" collapsed="false">
      <c r="A23" s="7" t="s">
        <v>1008</v>
      </c>
      <c r="B23" s="7" t="s">
        <v>1013</v>
      </c>
    </row>
    <row r="24" customFormat="false" ht="15" hidden="false" customHeight="false" outlineLevel="0" collapsed="false">
      <c r="A24" s="7" t="s">
        <v>1008</v>
      </c>
      <c r="B24" s="7" t="s">
        <v>1014</v>
      </c>
    </row>
    <row r="25" customFormat="false" ht="15" hidden="false" customHeight="false" outlineLevel="0" collapsed="false">
      <c r="A25" s="7" t="s">
        <v>1008</v>
      </c>
      <c r="B25" s="7" t="s">
        <v>1015</v>
      </c>
    </row>
  </sheetData>
  <hyperlinks>
    <hyperlink ref="D4" r:id="rId1" display="https://www.karriere.at/jobs/it/salzburg"/>
    <hyperlink ref="D5" r:id="rId2" display="https://karriere.sn.at/"/>
    <hyperlink ref="D6" r:id="rId3" display="https://jobs.salzburg24.at/jobs/it-edv/salzburg-stadt"/>
    <hyperlink ref="D7" r:id="rId4" display="https://www.salzburgerjobs.at/"/>
    <hyperlink ref="D8" r:id="rId5" display="https://www.stepstone.at/jobs/english-speaking/in-salzburg"/>
    <hyperlink ref="D9" r:id="rId6" display="https://jobinsalzburg.com/"/>
    <hyperlink ref="D10" r:id="rId7" display="https://englishjobsearch.at/in/salzburg-stadt"/>
    <hyperlink ref="D11" r:id="rId8" display="https://www.glassdoor.com/Job/salzburg-english-jobs-SRCH_IL.0,8_IC3080206_KO9,16.htm"/>
    <hyperlink ref="D12" r:id="rId9" display="https://www.linkedin.com/jobs/"/>
    <hyperlink ref="D13" r:id="rId10" display="https://jobs.ams.at/"/>
    <hyperlink ref="D14" r:id="rId11" display="https://devjobs.at/"/>
    <hyperlink ref="D15" r:id="rId12" display="https://hokify.at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3" min="3" style="0" width="46"/>
    <col collapsed="false" customWidth="true" hidden="false" outlineLevel="0" max="4" min="4" style="0" width="70"/>
    <col collapsed="false" customWidth="true" hidden="false" outlineLevel="0" max="5" min="5" style="0" width="18"/>
  </cols>
  <sheetData>
    <row r="1" customFormat="false" ht="17.35" hidden="false" customHeight="false" outlineLevel="0" collapsed="false">
      <c r="A1" s="17" t="s">
        <v>1016</v>
      </c>
    </row>
    <row r="3" customFormat="false" ht="15" hidden="false" customHeight="false" outlineLevel="0" collapsed="false">
      <c r="A3" s="19" t="s">
        <v>1017</v>
      </c>
      <c r="B3" s="19" t="s">
        <v>71</v>
      </c>
      <c r="C3" s="19" t="s">
        <v>1018</v>
      </c>
      <c r="D3" s="19" t="s">
        <v>1019</v>
      </c>
      <c r="E3" s="19" t="s">
        <v>1020</v>
      </c>
    </row>
    <row r="4" customFormat="false" ht="43.5" hidden="false" customHeight="true" outlineLevel="0" collapsed="false">
      <c r="A4" s="20" t="s">
        <v>1021</v>
      </c>
      <c r="B4" s="20" t="s">
        <v>1022</v>
      </c>
      <c r="C4" s="20" t="s">
        <v>1023</v>
      </c>
      <c r="D4" s="20" t="s">
        <v>1024</v>
      </c>
      <c r="E4" s="20" t="s">
        <v>1025</v>
      </c>
    </row>
    <row r="5" customFormat="false" ht="43.5" hidden="false" customHeight="true" outlineLevel="0" collapsed="false">
      <c r="A5" s="20" t="s">
        <v>1026</v>
      </c>
      <c r="B5" s="20" t="s">
        <v>1022</v>
      </c>
      <c r="C5" s="20" t="s">
        <v>1027</v>
      </c>
      <c r="D5" s="20" t="s">
        <v>1028</v>
      </c>
      <c r="E5" s="20" t="s">
        <v>1029</v>
      </c>
    </row>
    <row r="6" customFormat="false" ht="43.5" hidden="false" customHeight="true" outlineLevel="0" collapsed="false">
      <c r="A6" s="20" t="s">
        <v>1030</v>
      </c>
      <c r="B6" s="20" t="s">
        <v>1031</v>
      </c>
      <c r="C6" s="20" t="s">
        <v>1032</v>
      </c>
      <c r="D6" s="20" t="s">
        <v>1033</v>
      </c>
      <c r="E6" s="20" t="s">
        <v>1034</v>
      </c>
    </row>
    <row r="7" customFormat="false" ht="43.5" hidden="false" customHeight="true" outlineLevel="0" collapsed="false">
      <c r="A7" s="20" t="s">
        <v>1035</v>
      </c>
      <c r="B7" s="20" t="s">
        <v>1031</v>
      </c>
      <c r="C7" s="20" t="s">
        <v>1036</v>
      </c>
      <c r="D7" s="20" t="s">
        <v>1037</v>
      </c>
      <c r="E7" s="20" t="s">
        <v>1038</v>
      </c>
    </row>
    <row r="8" customFormat="false" ht="43.5" hidden="false" customHeight="true" outlineLevel="0" collapsed="false">
      <c r="A8" s="20" t="s">
        <v>1039</v>
      </c>
      <c r="B8" s="20" t="s">
        <v>1031</v>
      </c>
      <c r="C8" s="20" t="s">
        <v>1040</v>
      </c>
      <c r="D8" s="20" t="s">
        <v>1041</v>
      </c>
      <c r="E8" s="20" t="s">
        <v>1042</v>
      </c>
    </row>
    <row r="9" customFormat="false" ht="43.5" hidden="false" customHeight="true" outlineLevel="0" collapsed="false">
      <c r="A9" s="20" t="s">
        <v>1043</v>
      </c>
      <c r="B9" s="20" t="s">
        <v>1044</v>
      </c>
      <c r="C9" s="20" t="s">
        <v>1045</v>
      </c>
      <c r="D9" s="20" t="s">
        <v>1046</v>
      </c>
      <c r="E9" s="20" t="s">
        <v>1038</v>
      </c>
    </row>
    <row r="10" customFormat="false" ht="43.5" hidden="false" customHeight="true" outlineLevel="0" collapsed="false">
      <c r="A10" s="20" t="s">
        <v>1047</v>
      </c>
      <c r="B10" s="20" t="s">
        <v>1031</v>
      </c>
      <c r="C10" s="20" t="s">
        <v>1048</v>
      </c>
      <c r="D10" s="20" t="s">
        <v>1049</v>
      </c>
      <c r="E10" s="20" t="s">
        <v>1050</v>
      </c>
    </row>
    <row r="11" customFormat="false" ht="43.5" hidden="false" customHeight="true" outlineLevel="0" collapsed="false">
      <c r="A11" s="20" t="s">
        <v>1051</v>
      </c>
      <c r="B11" s="20" t="s">
        <v>1031</v>
      </c>
      <c r="C11" s="20" t="s">
        <v>1052</v>
      </c>
      <c r="D11" s="20" t="s">
        <v>1053</v>
      </c>
      <c r="E11" s="20" t="s">
        <v>1054</v>
      </c>
    </row>
    <row r="12" customFormat="false" ht="43.5" hidden="false" customHeight="true" outlineLevel="0" collapsed="false">
      <c r="A12" s="20" t="s">
        <v>1055</v>
      </c>
      <c r="B12" s="20" t="s">
        <v>1044</v>
      </c>
      <c r="C12" s="20" t="s">
        <v>1056</v>
      </c>
      <c r="D12" s="20" t="s">
        <v>1057</v>
      </c>
      <c r="E12" s="20" t="s">
        <v>1058</v>
      </c>
    </row>
    <row r="13" customFormat="false" ht="43.5" hidden="false" customHeight="true" outlineLevel="0" collapsed="false">
      <c r="A13" s="20" t="s">
        <v>1059</v>
      </c>
      <c r="B13" s="20" t="s">
        <v>1044</v>
      </c>
      <c r="C13" s="20" t="s">
        <v>1060</v>
      </c>
      <c r="D13" s="20" t="s">
        <v>1061</v>
      </c>
      <c r="E13" s="20" t="s">
        <v>1062</v>
      </c>
    </row>
    <row r="14" customFormat="false" ht="43.5" hidden="false" customHeight="true" outlineLevel="0" collapsed="false">
      <c r="A14" s="20" t="s">
        <v>1063</v>
      </c>
      <c r="B14" s="20" t="s">
        <v>1064</v>
      </c>
      <c r="C14" s="20" t="s">
        <v>1065</v>
      </c>
      <c r="D14" s="20" t="s">
        <v>1066</v>
      </c>
      <c r="E14" s="20" t="s">
        <v>1062</v>
      </c>
    </row>
    <row r="15" customFormat="false" ht="43.5" hidden="false" customHeight="true" outlineLevel="0" collapsed="false">
      <c r="A15" s="20" t="s">
        <v>1067</v>
      </c>
      <c r="B15" s="20" t="s">
        <v>1064</v>
      </c>
      <c r="C15" s="20" t="s">
        <v>1068</v>
      </c>
      <c r="D15" s="20" t="s">
        <v>1069</v>
      </c>
      <c r="E15" s="20" t="s">
        <v>1050</v>
      </c>
    </row>
    <row r="17" customFormat="false" ht="15" hidden="false" customHeight="false" outlineLevel="0" collapsed="false">
      <c r="A17" s="3" t="s">
        <v>1070</v>
      </c>
    </row>
    <row r="18" customFormat="false" ht="30" hidden="false" customHeight="true" outlineLevel="0" collapsed="false">
      <c r="A18" s="4" t="s">
        <v>1071</v>
      </c>
      <c r="B18" s="5" t="s">
        <v>1072</v>
      </c>
      <c r="C18" s="5"/>
      <c r="D18" s="5"/>
      <c r="E18" s="5"/>
    </row>
    <row r="19" customFormat="false" ht="30" hidden="false" customHeight="true" outlineLevel="0" collapsed="false">
      <c r="A19" s="4" t="s">
        <v>1073</v>
      </c>
      <c r="B19" s="5" t="s">
        <v>1074</v>
      </c>
      <c r="C19" s="5"/>
      <c r="D19" s="5"/>
      <c r="E19" s="5"/>
    </row>
    <row r="20" customFormat="false" ht="30" hidden="false" customHeight="true" outlineLevel="0" collapsed="false">
      <c r="A20" s="4" t="s">
        <v>1075</v>
      </c>
      <c r="B20" s="5" t="s">
        <v>1076</v>
      </c>
      <c r="C20" s="5"/>
      <c r="D20" s="5"/>
      <c r="E20" s="5"/>
    </row>
    <row r="21" customFormat="false" ht="30" hidden="false" customHeight="true" outlineLevel="0" collapsed="false">
      <c r="A21" s="4" t="s">
        <v>1077</v>
      </c>
      <c r="B21" s="5" t="s">
        <v>1078</v>
      </c>
      <c r="C21" s="5"/>
      <c r="D21" s="5"/>
      <c r="E21" s="5"/>
    </row>
    <row r="22" customFormat="false" ht="30" hidden="false" customHeight="true" outlineLevel="0" collapsed="false">
      <c r="A22" s="4" t="s">
        <v>1079</v>
      </c>
      <c r="B22" s="5" t="s">
        <v>1080</v>
      </c>
      <c r="C22" s="5"/>
      <c r="D22" s="5"/>
      <c r="E22" s="5"/>
    </row>
  </sheetData>
  <mergeCells count="5">
    <mergeCell ref="B18:E18"/>
    <mergeCell ref="B19:E19"/>
    <mergeCell ref="B20:E20"/>
    <mergeCell ref="B21:E21"/>
    <mergeCell ref="B22:E22"/>
  </mergeCells>
  <conditionalFormatting sqref="B4:B15">
    <cfRule type="expression" priority="2" aboveAverage="0" equalAverage="0" bottom="0" percent="0" rank="0" text="" dxfId="39">
      <formula>B4="Kritik"</formula>
    </cfRule>
    <cfRule type="expression" priority="3" aboveAverage="0" equalAverage="0" bottom="0" percent="0" rank="0" text="" dxfId="34">
      <formula>B4="Yüksek"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4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7" t="s">
        <v>1081</v>
      </c>
    </row>
    <row r="3" customFormat="false" ht="15" hidden="false" customHeight="false" outlineLevel="0" collapsed="false">
      <c r="A3" s="32" t="s">
        <v>1082</v>
      </c>
      <c r="B3" s="32" t="s">
        <v>1083</v>
      </c>
      <c r="C3" s="32" t="s">
        <v>1084</v>
      </c>
    </row>
    <row r="4" customFormat="false" ht="31.5" hidden="false" customHeight="true" outlineLevel="0" collapsed="false">
      <c r="A4" s="20" t="s">
        <v>1085</v>
      </c>
      <c r="B4" s="20" t="s">
        <v>1086</v>
      </c>
      <c r="C4" s="20" t="s">
        <v>1087</v>
      </c>
    </row>
    <row r="5" customFormat="false" ht="31.5" hidden="false" customHeight="true" outlineLevel="0" collapsed="false">
      <c r="A5" s="20" t="s">
        <v>1088</v>
      </c>
      <c r="B5" s="20" t="s">
        <v>1089</v>
      </c>
      <c r="C5" s="20" t="s">
        <v>1090</v>
      </c>
    </row>
    <row r="6" customFormat="false" ht="31.5" hidden="false" customHeight="true" outlineLevel="0" collapsed="false">
      <c r="A6" s="20" t="s">
        <v>1091</v>
      </c>
      <c r="B6" s="20" t="s">
        <v>1092</v>
      </c>
      <c r="C6" s="20" t="s">
        <v>1093</v>
      </c>
    </row>
    <row r="7" customFormat="false" ht="31.5" hidden="false" customHeight="true" outlineLevel="0" collapsed="false">
      <c r="A7" s="20" t="s">
        <v>1094</v>
      </c>
      <c r="B7" s="20" t="s">
        <v>1095</v>
      </c>
      <c r="C7" s="20" t="s">
        <v>1096</v>
      </c>
    </row>
    <row r="8" customFormat="false" ht="31.5" hidden="false" customHeight="true" outlineLevel="0" collapsed="false">
      <c r="A8" s="20" t="s">
        <v>1097</v>
      </c>
      <c r="B8" s="20" t="s">
        <v>1098</v>
      </c>
      <c r="C8" s="20" t="s">
        <v>1099</v>
      </c>
    </row>
    <row r="9" customFormat="false" ht="31.5" hidden="false" customHeight="true" outlineLevel="0" collapsed="false">
      <c r="A9" s="20" t="s">
        <v>1100</v>
      </c>
      <c r="B9" s="20" t="s">
        <v>1101</v>
      </c>
      <c r="C9" s="20" t="s">
        <v>1102</v>
      </c>
    </row>
    <row r="12" customFormat="false" ht="15" hidden="false" customHeight="false" outlineLevel="0" collapsed="false">
      <c r="A12" s="3" t="s">
        <v>1103</v>
      </c>
    </row>
    <row r="13" customFormat="false" ht="27.75" hidden="false" customHeight="true" outlineLevel="0" collapsed="false">
      <c r="A13" s="5" t="s">
        <v>1104</v>
      </c>
      <c r="B13" s="5"/>
      <c r="C13" s="5"/>
    </row>
    <row r="14" customFormat="false" ht="27.75" hidden="false" customHeight="true" outlineLevel="0" collapsed="false">
      <c r="A14" s="5" t="s">
        <v>1105</v>
      </c>
      <c r="B14" s="5"/>
      <c r="C14" s="5"/>
    </row>
    <row r="15" customFormat="false" ht="27.75" hidden="false" customHeight="true" outlineLevel="0" collapsed="false">
      <c r="A15" s="5" t="s">
        <v>1106</v>
      </c>
      <c r="B15" s="5"/>
      <c r="C15" s="5"/>
    </row>
    <row r="16" customFormat="false" ht="27.75" hidden="false" customHeight="true" outlineLevel="0" collapsed="false">
      <c r="A16" s="5" t="s">
        <v>1107</v>
      </c>
      <c r="B16" s="5"/>
      <c r="C16" s="5"/>
    </row>
    <row r="17" customFormat="false" ht="27.75" hidden="false" customHeight="true" outlineLevel="0" collapsed="false">
      <c r="A17" s="5" t="s">
        <v>1108</v>
      </c>
      <c r="B17" s="5"/>
      <c r="C17" s="5"/>
    </row>
    <row r="18" customFormat="false" ht="27.75" hidden="false" customHeight="true" outlineLevel="0" collapsed="false">
      <c r="A18" s="5" t="s">
        <v>1109</v>
      </c>
      <c r="B18" s="5"/>
      <c r="C18" s="5"/>
    </row>
  </sheetData>
  <mergeCells count="6">
    <mergeCell ref="A13:C13"/>
    <mergeCell ref="A14:C14"/>
    <mergeCell ref="A15:C15"/>
    <mergeCell ref="A16:C16"/>
    <mergeCell ref="A17:C17"/>
    <mergeCell ref="A18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2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55"/>
    <col collapsed="false" customWidth="true" hidden="false" outlineLevel="0" max="9" min="8" style="0" width="45"/>
  </cols>
  <sheetData>
    <row r="1" customFormat="false" ht="17.35" hidden="false" customHeight="false" outlineLevel="0" collapsed="false">
      <c r="A1" s="17" t="s">
        <v>1110</v>
      </c>
    </row>
    <row r="2" customFormat="false" ht="15" hidden="false" customHeight="false" outlineLevel="0" collapsed="false">
      <c r="A2" s="2" t="s">
        <v>1111</v>
      </c>
    </row>
    <row r="4" customFormat="false" ht="15" hidden="false" customHeight="false" outlineLevel="0" collapsed="false">
      <c r="A4" s="19" t="s">
        <v>84</v>
      </c>
      <c r="B4" s="19" t="s">
        <v>65</v>
      </c>
      <c r="C4" s="19" t="s">
        <v>67</v>
      </c>
      <c r="D4" s="19" t="s">
        <v>68</v>
      </c>
      <c r="E4" s="19" t="s">
        <v>72</v>
      </c>
      <c r="F4" s="19" t="s">
        <v>1112</v>
      </c>
      <c r="G4" s="19" t="s">
        <v>1113</v>
      </c>
      <c r="H4" s="19" t="s">
        <v>1114</v>
      </c>
      <c r="I4" s="19" t="s">
        <v>1115</v>
      </c>
    </row>
    <row r="5" customFormat="false" ht="33.75" hidden="false" customHeight="true" outlineLevel="0" collapsed="false">
      <c r="A5" s="20" t="n">
        <v>1</v>
      </c>
      <c r="B5" s="20" t="s">
        <v>1116</v>
      </c>
      <c r="C5" s="20" t="s">
        <v>1117</v>
      </c>
      <c r="D5" s="20" t="s">
        <v>332</v>
      </c>
      <c r="E5" s="20" t="s">
        <v>1118</v>
      </c>
      <c r="F5" s="20" t="s">
        <v>1119</v>
      </c>
      <c r="G5" s="20" t="s">
        <v>1120</v>
      </c>
      <c r="H5" s="20"/>
      <c r="I5" s="33" t="s">
        <v>1121</v>
      </c>
    </row>
    <row r="6" customFormat="false" ht="33.75" hidden="false" customHeight="true" outlineLevel="0" collapsed="false">
      <c r="A6" s="20" t="n">
        <v>2</v>
      </c>
      <c r="B6" s="20" t="s">
        <v>1122</v>
      </c>
      <c r="C6" s="20" t="s">
        <v>1123</v>
      </c>
      <c r="D6" s="20" t="s">
        <v>332</v>
      </c>
      <c r="E6" s="20" t="s">
        <v>1118</v>
      </c>
      <c r="F6" s="20" t="s">
        <v>1124</v>
      </c>
      <c r="G6" s="20" t="s">
        <v>1125</v>
      </c>
      <c r="H6" s="20"/>
      <c r="I6" s="33" t="s">
        <v>1126</v>
      </c>
    </row>
    <row r="7" customFormat="false" ht="33.75" hidden="false" customHeight="true" outlineLevel="0" collapsed="false">
      <c r="A7" s="20" t="n">
        <v>3</v>
      </c>
      <c r="B7" s="20" t="s">
        <v>1127</v>
      </c>
      <c r="C7" s="20" t="s">
        <v>1128</v>
      </c>
      <c r="D7" s="20" t="s">
        <v>332</v>
      </c>
      <c r="E7" s="20" t="s">
        <v>1118</v>
      </c>
      <c r="F7" s="20" t="s">
        <v>1129</v>
      </c>
      <c r="G7" s="20" t="s">
        <v>1130</v>
      </c>
      <c r="H7" s="20"/>
      <c r="I7" s="33" t="s">
        <v>1131</v>
      </c>
    </row>
    <row r="8" customFormat="false" ht="33.75" hidden="false" customHeight="true" outlineLevel="0" collapsed="false">
      <c r="A8" s="20" t="n">
        <v>4</v>
      </c>
      <c r="B8" s="20" t="s">
        <v>1132</v>
      </c>
      <c r="C8" s="20" t="s">
        <v>1133</v>
      </c>
      <c r="D8" s="20" t="s">
        <v>332</v>
      </c>
      <c r="E8" s="20" t="s">
        <v>1118</v>
      </c>
      <c r="F8" s="20" t="s">
        <v>1124</v>
      </c>
      <c r="G8" s="20" t="s">
        <v>1125</v>
      </c>
      <c r="H8" s="20"/>
      <c r="I8" s="33" t="s">
        <v>1134</v>
      </c>
    </row>
    <row r="9" customFormat="false" ht="33.75" hidden="false" customHeight="true" outlineLevel="0" collapsed="false">
      <c r="A9" s="20" t="n">
        <v>5</v>
      </c>
      <c r="B9" s="20" t="s">
        <v>1135</v>
      </c>
      <c r="C9" s="20" t="s">
        <v>1133</v>
      </c>
      <c r="D9" s="20" t="s">
        <v>590</v>
      </c>
      <c r="E9" s="20" t="s">
        <v>1118</v>
      </c>
      <c r="F9" s="20" t="s">
        <v>1124</v>
      </c>
      <c r="G9" s="20" t="s">
        <v>1136</v>
      </c>
      <c r="H9" s="20"/>
      <c r="I9" s="33" t="s">
        <v>1137</v>
      </c>
    </row>
    <row r="10" customFormat="false" ht="33.75" hidden="false" customHeight="true" outlineLevel="0" collapsed="false">
      <c r="A10" s="20" t="n">
        <v>6</v>
      </c>
      <c r="B10" s="20" t="s">
        <v>1135</v>
      </c>
      <c r="C10" s="20" t="s">
        <v>1138</v>
      </c>
      <c r="D10" s="20" t="s">
        <v>1139</v>
      </c>
      <c r="E10" s="20" t="s">
        <v>1118</v>
      </c>
      <c r="F10" s="20" t="s">
        <v>1140</v>
      </c>
      <c r="G10" s="20" t="s">
        <v>1141</v>
      </c>
      <c r="H10" s="20"/>
      <c r="I10" s="33" t="s">
        <v>1142</v>
      </c>
    </row>
    <row r="11" customFormat="false" ht="33.75" hidden="false" customHeight="true" outlineLevel="0" collapsed="false">
      <c r="A11" s="20" t="n">
        <v>7</v>
      </c>
      <c r="B11" s="20" t="s">
        <v>160</v>
      </c>
      <c r="C11" s="20" t="s">
        <v>1143</v>
      </c>
      <c r="D11" s="20" t="s">
        <v>162</v>
      </c>
      <c r="E11" s="20" t="s">
        <v>1118</v>
      </c>
      <c r="F11" s="20" t="s">
        <v>1129</v>
      </c>
      <c r="G11" s="20" t="s">
        <v>1130</v>
      </c>
      <c r="H11" s="20"/>
      <c r="I11" s="33" t="s">
        <v>1144</v>
      </c>
    </row>
    <row r="12" customFormat="false" ht="33.75" hidden="false" customHeight="true" outlineLevel="0" collapsed="false">
      <c r="A12" s="20" t="n">
        <v>8</v>
      </c>
      <c r="B12" s="20" t="s">
        <v>160</v>
      </c>
      <c r="C12" s="20" t="s">
        <v>1145</v>
      </c>
      <c r="D12" s="20" t="s">
        <v>162</v>
      </c>
      <c r="E12" s="20" t="s">
        <v>1118</v>
      </c>
      <c r="F12" s="20" t="s">
        <v>1146</v>
      </c>
      <c r="G12" s="20" t="s">
        <v>1147</v>
      </c>
      <c r="H12" s="20"/>
      <c r="I12" s="33" t="s">
        <v>1148</v>
      </c>
    </row>
    <row r="13" customFormat="false" ht="33.75" hidden="false" customHeight="true" outlineLevel="0" collapsed="false">
      <c r="A13" s="20" t="n">
        <v>9</v>
      </c>
      <c r="B13" s="20" t="s">
        <v>730</v>
      </c>
      <c r="C13" s="20" t="s">
        <v>1149</v>
      </c>
      <c r="D13" s="20" t="s">
        <v>332</v>
      </c>
      <c r="E13" s="20" t="s">
        <v>1118</v>
      </c>
      <c r="F13" s="20"/>
      <c r="G13" s="20" t="s">
        <v>1150</v>
      </c>
      <c r="H13" s="20"/>
      <c r="I13" s="33" t="s">
        <v>1151</v>
      </c>
    </row>
    <row r="14" customFormat="false" ht="33.75" hidden="false" customHeight="true" outlineLevel="0" collapsed="false">
      <c r="A14" s="20" t="n">
        <v>10</v>
      </c>
      <c r="B14" s="20" t="s">
        <v>730</v>
      </c>
      <c r="C14" s="20" t="s">
        <v>1152</v>
      </c>
      <c r="D14" s="20" t="s">
        <v>332</v>
      </c>
      <c r="E14" s="20" t="s">
        <v>1118</v>
      </c>
      <c r="F14" s="20" t="s">
        <v>1153</v>
      </c>
      <c r="G14" s="20" t="s">
        <v>1154</v>
      </c>
      <c r="H14" s="20"/>
      <c r="I14" s="33" t="s">
        <v>1155</v>
      </c>
    </row>
    <row r="15" customFormat="false" ht="33.75" hidden="false" customHeight="true" outlineLevel="0" collapsed="false">
      <c r="A15" s="20" t="n">
        <v>11</v>
      </c>
      <c r="B15" s="20" t="s">
        <v>428</v>
      </c>
      <c r="C15" s="20" t="s">
        <v>1156</v>
      </c>
      <c r="D15" s="20" t="s">
        <v>332</v>
      </c>
      <c r="E15" s="20" t="s">
        <v>1118</v>
      </c>
      <c r="F15" s="20"/>
      <c r="G15" s="20" t="s">
        <v>1157</v>
      </c>
      <c r="H15" s="20"/>
      <c r="I15" s="33" t="s">
        <v>1158</v>
      </c>
    </row>
    <row r="16" customFormat="false" ht="33.75" hidden="false" customHeight="true" outlineLevel="0" collapsed="false">
      <c r="A16" s="20" t="n">
        <v>12</v>
      </c>
      <c r="B16" s="20" t="s">
        <v>407</v>
      </c>
      <c r="C16" s="20" t="s">
        <v>1159</v>
      </c>
      <c r="D16" s="20" t="s">
        <v>332</v>
      </c>
      <c r="E16" s="20" t="s">
        <v>1118</v>
      </c>
      <c r="F16" s="20"/>
      <c r="G16" s="20" t="s">
        <v>1160</v>
      </c>
      <c r="H16" s="20"/>
      <c r="I16" s="33" t="s">
        <v>1161</v>
      </c>
    </row>
    <row r="17" customFormat="false" ht="33.75" hidden="false" customHeight="true" outlineLevel="0" collapsed="false">
      <c r="A17" s="20" t="n">
        <v>13</v>
      </c>
      <c r="B17" s="20" t="s">
        <v>407</v>
      </c>
      <c r="C17" s="20" t="s">
        <v>1162</v>
      </c>
      <c r="D17" s="20" t="s">
        <v>332</v>
      </c>
      <c r="E17" s="20" t="s">
        <v>1118</v>
      </c>
      <c r="F17" s="20"/>
      <c r="G17" s="20" t="s">
        <v>1163</v>
      </c>
      <c r="H17" s="20"/>
      <c r="I17" s="33" t="s">
        <v>1164</v>
      </c>
    </row>
    <row r="18" customFormat="false" ht="33.75" hidden="false" customHeight="true" outlineLevel="0" collapsed="false">
      <c r="A18" s="20" t="n">
        <v>14</v>
      </c>
      <c r="B18" s="20" t="s">
        <v>407</v>
      </c>
      <c r="C18" s="20" t="s">
        <v>1165</v>
      </c>
      <c r="D18" s="20" t="s">
        <v>332</v>
      </c>
      <c r="E18" s="20" t="s">
        <v>1118</v>
      </c>
      <c r="F18" s="20"/>
      <c r="G18" s="20" t="s">
        <v>1166</v>
      </c>
      <c r="H18" s="20"/>
      <c r="I18" s="33" t="s">
        <v>1167</v>
      </c>
    </row>
    <row r="19" customFormat="false" ht="33.75" hidden="false" customHeight="true" outlineLevel="0" collapsed="false">
      <c r="A19" s="20" t="n">
        <v>15</v>
      </c>
      <c r="B19" s="20" t="s">
        <v>1168</v>
      </c>
      <c r="C19" s="20" t="s">
        <v>1169</v>
      </c>
      <c r="D19" s="20" t="s">
        <v>332</v>
      </c>
      <c r="E19" s="20" t="s">
        <v>1118</v>
      </c>
      <c r="F19" s="20"/>
      <c r="G19" s="20" t="s">
        <v>1170</v>
      </c>
      <c r="H19" s="20"/>
      <c r="I19" s="33" t="s">
        <v>1171</v>
      </c>
    </row>
    <row r="20" customFormat="false" ht="33.75" hidden="false" customHeight="true" outlineLevel="0" collapsed="false">
      <c r="A20" s="20" t="n">
        <v>16</v>
      </c>
      <c r="B20" s="20" t="s">
        <v>1172</v>
      </c>
      <c r="C20" s="20" t="s">
        <v>485</v>
      </c>
      <c r="D20" s="20" t="s">
        <v>1173</v>
      </c>
      <c r="E20" s="20" t="s">
        <v>1118</v>
      </c>
      <c r="F20" s="20"/>
      <c r="G20" s="20" t="s">
        <v>1174</v>
      </c>
      <c r="H20" s="20"/>
      <c r="I20" s="33" t="s">
        <v>1175</v>
      </c>
    </row>
    <row r="21" customFormat="false" ht="33.75" hidden="false" customHeight="true" outlineLevel="0" collapsed="false">
      <c r="A21" s="20" t="n">
        <v>17</v>
      </c>
      <c r="B21" s="20" t="s">
        <v>1176</v>
      </c>
      <c r="C21" s="20" t="s">
        <v>1177</v>
      </c>
      <c r="D21" s="20" t="s">
        <v>332</v>
      </c>
      <c r="E21" s="20" t="s">
        <v>1118</v>
      </c>
      <c r="F21" s="20" t="s">
        <v>1178</v>
      </c>
      <c r="G21" s="20" t="s">
        <v>1179</v>
      </c>
      <c r="H21" s="20"/>
      <c r="I21" s="33" t="s">
        <v>1180</v>
      </c>
    </row>
    <row r="22" customFormat="false" ht="33.75" hidden="false" customHeight="true" outlineLevel="0" collapsed="false">
      <c r="A22" s="20" t="n">
        <v>18</v>
      </c>
      <c r="B22" s="20" t="s">
        <v>815</v>
      </c>
      <c r="C22" s="20" t="s">
        <v>1181</v>
      </c>
      <c r="D22" s="20" t="s">
        <v>332</v>
      </c>
      <c r="E22" s="20" t="s">
        <v>1118</v>
      </c>
      <c r="F22" s="20" t="s">
        <v>1182</v>
      </c>
      <c r="G22" s="20" t="s">
        <v>1183</v>
      </c>
      <c r="H22" s="20"/>
      <c r="I22" s="33" t="s">
        <v>1184</v>
      </c>
    </row>
    <row r="23" customFormat="false" ht="33.75" hidden="false" customHeight="true" outlineLevel="0" collapsed="false">
      <c r="A23" s="20" t="n">
        <v>19</v>
      </c>
      <c r="B23" s="20" t="s">
        <v>1185</v>
      </c>
      <c r="C23" s="20" t="s">
        <v>1186</v>
      </c>
      <c r="D23" s="20" t="s">
        <v>605</v>
      </c>
      <c r="E23" s="20" t="s">
        <v>1118</v>
      </c>
      <c r="F23" s="20" t="s">
        <v>1187</v>
      </c>
      <c r="G23" s="20" t="s">
        <v>1188</v>
      </c>
      <c r="H23" s="20"/>
      <c r="I23" s="33" t="s">
        <v>1189</v>
      </c>
    </row>
    <row r="24" customFormat="false" ht="33.75" hidden="false" customHeight="true" outlineLevel="0" collapsed="false">
      <c r="A24" s="20" t="n">
        <v>20</v>
      </c>
      <c r="B24" s="20" t="s">
        <v>1190</v>
      </c>
      <c r="C24" s="20" t="s">
        <v>1191</v>
      </c>
      <c r="D24" s="20" t="s">
        <v>332</v>
      </c>
      <c r="E24" s="20" t="s">
        <v>1118</v>
      </c>
      <c r="F24" s="20" t="s">
        <v>1192</v>
      </c>
      <c r="G24" s="20" t="s">
        <v>1193</v>
      </c>
      <c r="H24" s="20"/>
      <c r="I24" s="33" t="s">
        <v>1194</v>
      </c>
    </row>
    <row r="25" customFormat="false" ht="33.75" hidden="false" customHeight="true" outlineLevel="0" collapsed="false">
      <c r="A25" s="20" t="n">
        <v>21</v>
      </c>
      <c r="B25" s="20" t="s">
        <v>330</v>
      </c>
      <c r="C25" s="20" t="s">
        <v>1195</v>
      </c>
      <c r="D25" s="20" t="s">
        <v>332</v>
      </c>
      <c r="E25" s="20" t="s">
        <v>1196</v>
      </c>
      <c r="F25" s="20" t="s">
        <v>1197</v>
      </c>
      <c r="G25" s="20" t="s">
        <v>1198</v>
      </c>
      <c r="H25" s="20"/>
      <c r="I25" s="33" t="s">
        <v>1199</v>
      </c>
    </row>
    <row r="26" customFormat="false" ht="33.75" hidden="false" customHeight="true" outlineLevel="0" collapsed="false">
      <c r="A26" s="20" t="n">
        <v>22</v>
      </c>
      <c r="B26" s="20" t="s">
        <v>517</v>
      </c>
      <c r="C26" s="20" t="s">
        <v>1200</v>
      </c>
      <c r="D26" s="20" t="s">
        <v>1201</v>
      </c>
      <c r="E26" s="20" t="s">
        <v>1196</v>
      </c>
      <c r="F26" s="20" t="s">
        <v>1202</v>
      </c>
      <c r="G26" s="20" t="s">
        <v>1203</v>
      </c>
      <c r="H26" s="20"/>
      <c r="I26" s="33" t="s">
        <v>1204</v>
      </c>
    </row>
    <row r="27" customFormat="false" ht="33.75" hidden="false" customHeight="true" outlineLevel="0" collapsed="false">
      <c r="A27" s="20" t="n">
        <v>23</v>
      </c>
      <c r="B27" s="20" t="s">
        <v>463</v>
      </c>
      <c r="C27" s="20" t="s">
        <v>1205</v>
      </c>
      <c r="D27" s="20" t="s">
        <v>1206</v>
      </c>
      <c r="E27" s="20" t="s">
        <v>1196</v>
      </c>
      <c r="F27" s="20" t="s">
        <v>1207</v>
      </c>
      <c r="G27" s="20" t="s">
        <v>1208</v>
      </c>
      <c r="H27" s="20"/>
      <c r="I27" s="33" t="s">
        <v>1209</v>
      </c>
    </row>
    <row r="28" customFormat="false" ht="33.75" hidden="false" customHeight="true" outlineLevel="0" collapsed="false">
      <c r="A28" s="20" t="n">
        <v>24</v>
      </c>
      <c r="B28" s="20" t="s">
        <v>1210</v>
      </c>
      <c r="C28" s="20" t="s">
        <v>1211</v>
      </c>
      <c r="D28" s="20" t="s">
        <v>899</v>
      </c>
      <c r="E28" s="20" t="s">
        <v>1196</v>
      </c>
      <c r="F28" s="20" t="s">
        <v>1212</v>
      </c>
      <c r="G28" s="20" t="s">
        <v>1213</v>
      </c>
      <c r="H28" s="20"/>
      <c r="I28" s="33" t="s">
        <v>1214</v>
      </c>
    </row>
    <row r="29" customFormat="false" ht="33.75" hidden="false" customHeight="true" outlineLevel="0" collapsed="false">
      <c r="A29" s="20" t="n">
        <v>25</v>
      </c>
      <c r="B29" s="20" t="s">
        <v>280</v>
      </c>
      <c r="C29" s="20" t="s">
        <v>1215</v>
      </c>
      <c r="D29" s="20" t="s">
        <v>282</v>
      </c>
      <c r="E29" s="20" t="s">
        <v>1196</v>
      </c>
      <c r="F29" s="20"/>
      <c r="G29" s="20" t="s">
        <v>1216</v>
      </c>
      <c r="H29" s="20"/>
      <c r="I29" s="33" t="s">
        <v>1217</v>
      </c>
    </row>
    <row r="30" customFormat="false" ht="33.75" hidden="false" customHeight="true" outlineLevel="0" collapsed="false">
      <c r="A30" s="20" t="n">
        <v>26</v>
      </c>
      <c r="B30" s="20" t="s">
        <v>1218</v>
      </c>
      <c r="C30" s="20" t="s">
        <v>1219</v>
      </c>
      <c r="D30" s="20" t="s">
        <v>1220</v>
      </c>
      <c r="E30" s="20" t="s">
        <v>1196</v>
      </c>
      <c r="F30" s="20" t="s">
        <v>1221</v>
      </c>
      <c r="G30" s="20" t="s">
        <v>1222</v>
      </c>
      <c r="H30" s="20"/>
      <c r="I30" s="33" t="s">
        <v>1223</v>
      </c>
    </row>
    <row r="31" customFormat="false" ht="33.75" hidden="false" customHeight="true" outlineLevel="0" collapsed="false">
      <c r="A31" s="20" t="n">
        <v>27</v>
      </c>
      <c r="B31" s="20" t="s">
        <v>716</v>
      </c>
      <c r="C31" s="20" t="s">
        <v>1224</v>
      </c>
      <c r="D31" s="20" t="s">
        <v>718</v>
      </c>
      <c r="E31" s="20" t="s">
        <v>1196</v>
      </c>
      <c r="F31" s="20" t="s">
        <v>1225</v>
      </c>
      <c r="G31" s="20" t="s">
        <v>1226</v>
      </c>
      <c r="H31" s="20"/>
      <c r="I31" s="33" t="s">
        <v>1227</v>
      </c>
    </row>
    <row r="32" customFormat="false" ht="33.75" hidden="false" customHeight="true" outlineLevel="0" collapsed="false">
      <c r="A32" s="20" t="n">
        <v>28</v>
      </c>
      <c r="B32" s="20" t="s">
        <v>709</v>
      </c>
      <c r="C32" s="20" t="s">
        <v>1228</v>
      </c>
      <c r="D32" s="20" t="s">
        <v>1229</v>
      </c>
      <c r="E32" s="20" t="s">
        <v>1196</v>
      </c>
      <c r="F32" s="20" t="s">
        <v>1230</v>
      </c>
      <c r="G32" s="20" t="s">
        <v>1231</v>
      </c>
      <c r="H32" s="20"/>
      <c r="I32" s="33" t="s">
        <v>1232</v>
      </c>
    </row>
    <row r="33" customFormat="false" ht="33.75" hidden="false" customHeight="true" outlineLevel="0" collapsed="false">
      <c r="A33" s="20" t="n">
        <v>29</v>
      </c>
      <c r="B33" s="20" t="s">
        <v>1233</v>
      </c>
      <c r="C33" s="20" t="s">
        <v>1234</v>
      </c>
      <c r="D33" s="20" t="s">
        <v>332</v>
      </c>
      <c r="E33" s="20" t="s">
        <v>1196</v>
      </c>
      <c r="F33" s="20" t="s">
        <v>1235</v>
      </c>
      <c r="G33" s="20" t="s">
        <v>1236</v>
      </c>
      <c r="H33" s="20"/>
      <c r="I33" s="33" t="s">
        <v>1237</v>
      </c>
    </row>
    <row r="34" customFormat="false" ht="33.75" hidden="false" customHeight="true" outlineLevel="0" collapsed="false">
      <c r="A34" s="20" t="n">
        <v>30</v>
      </c>
      <c r="B34" s="20" t="s">
        <v>108</v>
      </c>
      <c r="C34" s="20" t="s">
        <v>1238</v>
      </c>
      <c r="D34" s="20" t="s">
        <v>152</v>
      </c>
      <c r="E34" s="20" t="s">
        <v>1196</v>
      </c>
      <c r="F34" s="20"/>
      <c r="G34" s="20" t="s">
        <v>1239</v>
      </c>
      <c r="H34" s="20"/>
      <c r="I34" s="33" t="s">
        <v>1240</v>
      </c>
    </row>
    <row r="35" customFormat="false" ht="33.75" hidden="false" customHeight="true" outlineLevel="0" collapsed="false">
      <c r="A35" s="20" t="n">
        <v>31</v>
      </c>
      <c r="B35" s="20" t="s">
        <v>108</v>
      </c>
      <c r="C35" s="20" t="s">
        <v>1241</v>
      </c>
      <c r="D35" s="20" t="s">
        <v>152</v>
      </c>
      <c r="E35" s="20" t="s">
        <v>1196</v>
      </c>
      <c r="F35" s="20"/>
      <c r="G35" s="20" t="s">
        <v>1242</v>
      </c>
      <c r="H35" s="20"/>
      <c r="I35" s="33" t="s">
        <v>1243</v>
      </c>
    </row>
    <row r="36" customFormat="false" ht="33.75" hidden="false" customHeight="true" outlineLevel="0" collapsed="false">
      <c r="A36" s="20" t="n">
        <v>32</v>
      </c>
      <c r="B36" s="20" t="s">
        <v>1244</v>
      </c>
      <c r="C36" s="20" t="s">
        <v>1245</v>
      </c>
      <c r="D36" s="20" t="s">
        <v>332</v>
      </c>
      <c r="E36" s="20" t="s">
        <v>1196</v>
      </c>
      <c r="F36" s="20" t="s">
        <v>1246</v>
      </c>
      <c r="G36" s="20" t="s">
        <v>1247</v>
      </c>
      <c r="H36" s="20"/>
      <c r="I36" s="33" t="s">
        <v>1248</v>
      </c>
    </row>
    <row r="37" customFormat="false" ht="33.75" hidden="false" customHeight="true" outlineLevel="0" collapsed="false">
      <c r="A37" s="20" t="n">
        <v>33</v>
      </c>
      <c r="B37" s="20" t="s">
        <v>588</v>
      </c>
      <c r="C37" s="20" t="s">
        <v>1249</v>
      </c>
      <c r="D37" s="20" t="s">
        <v>128</v>
      </c>
      <c r="E37" s="20" t="s">
        <v>1196</v>
      </c>
      <c r="F37" s="20" t="s">
        <v>1250</v>
      </c>
      <c r="G37" s="20" t="s">
        <v>1251</v>
      </c>
      <c r="H37" s="20"/>
      <c r="I37" s="33" t="s">
        <v>1252</v>
      </c>
    </row>
    <row r="38" customFormat="false" ht="33.75" hidden="false" customHeight="true" outlineLevel="0" collapsed="false">
      <c r="A38" s="20" t="n">
        <v>34</v>
      </c>
      <c r="B38" s="20" t="s">
        <v>1135</v>
      </c>
      <c r="C38" s="20" t="s">
        <v>1253</v>
      </c>
      <c r="D38" s="20" t="s">
        <v>152</v>
      </c>
      <c r="E38" s="20" t="s">
        <v>1196</v>
      </c>
      <c r="F38" s="20"/>
      <c r="G38" s="20" t="s">
        <v>1254</v>
      </c>
      <c r="H38" s="20"/>
      <c r="I38" s="33" t="s">
        <v>1255</v>
      </c>
    </row>
    <row r="39" customFormat="false" ht="33.75" hidden="false" customHeight="true" outlineLevel="0" collapsed="false">
      <c r="A39" s="20" t="n">
        <v>35</v>
      </c>
      <c r="B39" s="20" t="s">
        <v>1135</v>
      </c>
      <c r="C39" s="20" t="s">
        <v>1256</v>
      </c>
      <c r="D39" s="20" t="s">
        <v>590</v>
      </c>
      <c r="E39" s="20" t="s">
        <v>1196</v>
      </c>
      <c r="F39" s="20" t="s">
        <v>1124</v>
      </c>
      <c r="G39" s="20" t="s">
        <v>1257</v>
      </c>
      <c r="H39" s="20"/>
      <c r="I39" s="33" t="s">
        <v>1258</v>
      </c>
    </row>
    <row r="40" customFormat="false" ht="33.75" hidden="false" customHeight="true" outlineLevel="0" collapsed="false">
      <c r="A40" s="20" t="n">
        <v>36</v>
      </c>
      <c r="B40" s="20" t="s">
        <v>698</v>
      </c>
      <c r="C40" s="20" t="s">
        <v>1259</v>
      </c>
      <c r="D40" s="20" t="s">
        <v>332</v>
      </c>
      <c r="E40" s="20" t="s">
        <v>1196</v>
      </c>
      <c r="F40" s="20" t="s">
        <v>1260</v>
      </c>
      <c r="G40" s="20" t="s">
        <v>1261</v>
      </c>
      <c r="H40" s="20"/>
      <c r="I40" s="33" t="s">
        <v>1262</v>
      </c>
    </row>
    <row r="41" customFormat="false" ht="33.75" hidden="false" customHeight="true" outlineLevel="0" collapsed="false">
      <c r="A41" s="20" t="n">
        <v>37</v>
      </c>
      <c r="B41" s="20" t="s">
        <v>160</v>
      </c>
      <c r="C41" s="20" t="s">
        <v>1263</v>
      </c>
      <c r="D41" s="20" t="s">
        <v>162</v>
      </c>
      <c r="E41" s="20" t="s">
        <v>1196</v>
      </c>
      <c r="F41" s="20" t="s">
        <v>1264</v>
      </c>
      <c r="G41" s="20" t="s">
        <v>1265</v>
      </c>
      <c r="H41" s="21" t="s">
        <v>1266</v>
      </c>
      <c r="I41" s="33" t="s">
        <v>1267</v>
      </c>
    </row>
    <row r="42" customFormat="false" ht="33.75" hidden="false" customHeight="true" outlineLevel="0" collapsed="false">
      <c r="A42" s="20" t="n">
        <v>38</v>
      </c>
      <c r="B42" s="20" t="s">
        <v>160</v>
      </c>
      <c r="C42" s="20" t="s">
        <v>1268</v>
      </c>
      <c r="D42" s="20" t="s">
        <v>162</v>
      </c>
      <c r="E42" s="20" t="s">
        <v>1196</v>
      </c>
      <c r="F42" s="20" t="s">
        <v>1269</v>
      </c>
      <c r="G42" s="20" t="s">
        <v>1270</v>
      </c>
      <c r="H42" s="20"/>
      <c r="I42" s="33" t="s">
        <v>1271</v>
      </c>
    </row>
    <row r="43" customFormat="false" ht="33.75" hidden="false" customHeight="true" outlineLevel="0" collapsed="false">
      <c r="A43" s="20" t="n">
        <v>39</v>
      </c>
      <c r="B43" s="20" t="s">
        <v>160</v>
      </c>
      <c r="C43" s="20" t="s">
        <v>1272</v>
      </c>
      <c r="D43" s="20" t="s">
        <v>162</v>
      </c>
      <c r="E43" s="20" t="s">
        <v>1196</v>
      </c>
      <c r="F43" s="20" t="s">
        <v>1273</v>
      </c>
      <c r="G43" s="20" t="s">
        <v>1274</v>
      </c>
      <c r="H43" s="20"/>
      <c r="I43" s="33" t="s">
        <v>1275</v>
      </c>
    </row>
    <row r="44" customFormat="false" ht="33.75" hidden="false" customHeight="true" outlineLevel="0" collapsed="false">
      <c r="A44" s="20" t="n">
        <v>40</v>
      </c>
      <c r="B44" s="20" t="s">
        <v>160</v>
      </c>
      <c r="C44" s="20" t="s">
        <v>1276</v>
      </c>
      <c r="D44" s="20" t="s">
        <v>162</v>
      </c>
      <c r="E44" s="20" t="s">
        <v>1196</v>
      </c>
      <c r="F44" s="20" t="s">
        <v>1277</v>
      </c>
      <c r="G44" s="20" t="s">
        <v>1274</v>
      </c>
      <c r="H44" s="20"/>
      <c r="I44" s="33" t="s">
        <v>1278</v>
      </c>
    </row>
    <row r="45" customFormat="false" ht="33.75" hidden="false" customHeight="true" outlineLevel="0" collapsed="false">
      <c r="A45" s="20" t="n">
        <v>41</v>
      </c>
      <c r="B45" s="20" t="s">
        <v>160</v>
      </c>
      <c r="C45" s="20" t="s">
        <v>1279</v>
      </c>
      <c r="D45" s="20" t="s">
        <v>162</v>
      </c>
      <c r="E45" s="20" t="s">
        <v>1196</v>
      </c>
      <c r="F45" s="20" t="s">
        <v>1280</v>
      </c>
      <c r="G45" s="20" t="s">
        <v>1281</v>
      </c>
      <c r="H45" s="20"/>
      <c r="I45" s="33" t="s">
        <v>1282</v>
      </c>
    </row>
    <row r="46" customFormat="false" ht="33.75" hidden="false" customHeight="true" outlineLevel="0" collapsed="false">
      <c r="A46" s="20" t="n">
        <v>42</v>
      </c>
      <c r="B46" s="20" t="s">
        <v>428</v>
      </c>
      <c r="C46" s="20" t="s">
        <v>1283</v>
      </c>
      <c r="D46" s="20" t="s">
        <v>332</v>
      </c>
      <c r="E46" s="20" t="s">
        <v>1196</v>
      </c>
      <c r="F46" s="20"/>
      <c r="G46" s="20" t="s">
        <v>1284</v>
      </c>
      <c r="H46" s="20"/>
      <c r="I46" s="33" t="s">
        <v>1285</v>
      </c>
    </row>
    <row r="47" customFormat="false" ht="33.75" hidden="false" customHeight="true" outlineLevel="0" collapsed="false">
      <c r="A47" s="20" t="n">
        <v>43</v>
      </c>
      <c r="B47" s="20" t="s">
        <v>428</v>
      </c>
      <c r="C47" s="20" t="s">
        <v>1286</v>
      </c>
      <c r="D47" s="20" t="s">
        <v>1287</v>
      </c>
      <c r="E47" s="20" t="s">
        <v>1196</v>
      </c>
      <c r="F47" s="20" t="s">
        <v>1288</v>
      </c>
      <c r="G47" s="20" t="s">
        <v>1289</v>
      </c>
      <c r="H47" s="20"/>
      <c r="I47" s="33" t="s">
        <v>1290</v>
      </c>
    </row>
    <row r="48" customFormat="false" ht="33.75" hidden="false" customHeight="true" outlineLevel="0" collapsed="false">
      <c r="A48" s="20" t="n">
        <v>44</v>
      </c>
      <c r="B48" s="20" t="s">
        <v>407</v>
      </c>
      <c r="C48" s="20" t="s">
        <v>1291</v>
      </c>
      <c r="D48" s="20" t="s">
        <v>332</v>
      </c>
      <c r="E48" s="20" t="s">
        <v>1196</v>
      </c>
      <c r="F48" s="20" t="s">
        <v>1230</v>
      </c>
      <c r="G48" s="20" t="s">
        <v>1292</v>
      </c>
      <c r="H48" s="20"/>
      <c r="I48" s="33" t="s">
        <v>1293</v>
      </c>
    </row>
    <row r="49" customFormat="false" ht="33.75" hidden="false" customHeight="true" outlineLevel="0" collapsed="false">
      <c r="A49" s="20" t="n">
        <v>45</v>
      </c>
      <c r="B49" s="20" t="s">
        <v>407</v>
      </c>
      <c r="C49" s="20" t="s">
        <v>1294</v>
      </c>
      <c r="D49" s="20" t="s">
        <v>332</v>
      </c>
      <c r="E49" s="20" t="s">
        <v>1196</v>
      </c>
      <c r="F49" s="20"/>
      <c r="G49" s="20" t="s">
        <v>1295</v>
      </c>
      <c r="H49" s="20"/>
      <c r="I49" s="33" t="s">
        <v>1296</v>
      </c>
    </row>
    <row r="50" customFormat="false" ht="33.75" hidden="false" customHeight="true" outlineLevel="0" collapsed="false">
      <c r="A50" s="20" t="n">
        <v>46</v>
      </c>
      <c r="B50" s="20" t="s">
        <v>407</v>
      </c>
      <c r="C50" s="20" t="s">
        <v>1297</v>
      </c>
      <c r="D50" s="20" t="s">
        <v>332</v>
      </c>
      <c r="E50" s="20" t="s">
        <v>1196</v>
      </c>
      <c r="F50" s="20"/>
      <c r="G50" s="20" t="s">
        <v>1298</v>
      </c>
      <c r="H50" s="20"/>
      <c r="I50" s="33" t="s">
        <v>1299</v>
      </c>
    </row>
    <row r="51" customFormat="false" ht="33.75" hidden="false" customHeight="true" outlineLevel="0" collapsed="false">
      <c r="A51" s="20" t="n">
        <v>47</v>
      </c>
      <c r="B51" s="20" t="s">
        <v>407</v>
      </c>
      <c r="C51" s="20" t="s">
        <v>1300</v>
      </c>
      <c r="D51" s="20" t="s">
        <v>332</v>
      </c>
      <c r="E51" s="20" t="s">
        <v>1196</v>
      </c>
      <c r="F51" s="20" t="s">
        <v>1260</v>
      </c>
      <c r="G51" s="20" t="s">
        <v>1301</v>
      </c>
      <c r="H51" s="20"/>
      <c r="I51" s="33" t="s">
        <v>1302</v>
      </c>
    </row>
    <row r="52" customFormat="false" ht="33.75" hidden="false" customHeight="true" outlineLevel="0" collapsed="false">
      <c r="A52" s="20" t="n">
        <v>48</v>
      </c>
      <c r="B52" s="20" t="s">
        <v>1303</v>
      </c>
      <c r="C52" s="20" t="s">
        <v>1304</v>
      </c>
      <c r="D52" s="20" t="s">
        <v>332</v>
      </c>
      <c r="E52" s="20" t="s">
        <v>1196</v>
      </c>
      <c r="F52" s="20" t="s">
        <v>1260</v>
      </c>
      <c r="G52" s="20" t="s">
        <v>1305</v>
      </c>
      <c r="H52" s="20"/>
      <c r="I52" s="33" t="s">
        <v>1306</v>
      </c>
    </row>
    <row r="53" customFormat="false" ht="33.75" hidden="false" customHeight="true" outlineLevel="0" collapsed="false">
      <c r="A53" s="20" t="n">
        <v>49</v>
      </c>
      <c r="B53" s="20" t="s">
        <v>1307</v>
      </c>
      <c r="C53" s="20" t="s">
        <v>1308</v>
      </c>
      <c r="D53" s="20" t="s">
        <v>218</v>
      </c>
      <c r="E53" s="20" t="s">
        <v>1196</v>
      </c>
      <c r="F53" s="20" t="s">
        <v>1309</v>
      </c>
      <c r="G53" s="20" t="s">
        <v>1310</v>
      </c>
      <c r="H53" s="20"/>
      <c r="I53" s="33" t="s">
        <v>1311</v>
      </c>
    </row>
    <row r="54" customFormat="false" ht="33.75" hidden="false" customHeight="true" outlineLevel="0" collapsed="false">
      <c r="A54" s="20" t="n">
        <v>50</v>
      </c>
      <c r="B54" s="20" t="s">
        <v>815</v>
      </c>
      <c r="C54" s="20" t="s">
        <v>1312</v>
      </c>
      <c r="D54" s="20" t="s">
        <v>332</v>
      </c>
      <c r="E54" s="20" t="s">
        <v>1196</v>
      </c>
      <c r="F54" s="20" t="s">
        <v>1230</v>
      </c>
      <c r="G54" s="20" t="s">
        <v>1313</v>
      </c>
      <c r="H54" s="20"/>
      <c r="I54" s="33" t="s">
        <v>1314</v>
      </c>
    </row>
    <row r="55" customFormat="false" ht="33.75" hidden="false" customHeight="true" outlineLevel="0" collapsed="false">
      <c r="A55" s="20" t="n">
        <v>51</v>
      </c>
      <c r="B55" s="20" t="s">
        <v>1315</v>
      </c>
      <c r="C55" s="20" t="s">
        <v>1316</v>
      </c>
      <c r="D55" s="20" t="s">
        <v>332</v>
      </c>
      <c r="E55" s="20" t="s">
        <v>1196</v>
      </c>
      <c r="F55" s="20" t="s">
        <v>1221</v>
      </c>
      <c r="G55" s="20" t="s">
        <v>1317</v>
      </c>
      <c r="H55" s="20"/>
      <c r="I55" s="33" t="s">
        <v>1318</v>
      </c>
    </row>
    <row r="56" customFormat="false" ht="33.75" hidden="false" customHeight="true" outlineLevel="0" collapsed="false">
      <c r="A56" s="20" t="n">
        <v>52</v>
      </c>
      <c r="B56" s="20" t="s">
        <v>1315</v>
      </c>
      <c r="C56" s="20" t="s">
        <v>1319</v>
      </c>
      <c r="D56" s="20" t="s">
        <v>332</v>
      </c>
      <c r="E56" s="20" t="s">
        <v>1196</v>
      </c>
      <c r="F56" s="20" t="s">
        <v>1202</v>
      </c>
      <c r="G56" s="20" t="s">
        <v>1320</v>
      </c>
      <c r="H56" s="20"/>
      <c r="I56" s="33" t="s">
        <v>1321</v>
      </c>
    </row>
    <row r="57" customFormat="false" ht="33.75" hidden="false" customHeight="true" outlineLevel="0" collapsed="false">
      <c r="A57" s="20" t="n">
        <v>53</v>
      </c>
      <c r="B57" s="20" t="s">
        <v>1322</v>
      </c>
      <c r="C57" s="20" t="s">
        <v>1323</v>
      </c>
      <c r="D57" s="20" t="s">
        <v>1324</v>
      </c>
      <c r="E57" s="20" t="s">
        <v>1325</v>
      </c>
      <c r="F57" s="20"/>
      <c r="G57" s="20" t="s">
        <v>1326</v>
      </c>
      <c r="H57" s="20"/>
      <c r="I57" s="33" t="s">
        <v>1327</v>
      </c>
    </row>
    <row r="58" customFormat="false" ht="33.75" hidden="false" customHeight="true" outlineLevel="0" collapsed="false">
      <c r="A58" s="20" t="n">
        <v>54</v>
      </c>
      <c r="B58" s="20" t="s">
        <v>1328</v>
      </c>
      <c r="C58" s="20" t="s">
        <v>1329</v>
      </c>
      <c r="D58" s="20" t="s">
        <v>218</v>
      </c>
      <c r="E58" s="20" t="s">
        <v>1325</v>
      </c>
      <c r="F58" s="20"/>
      <c r="G58" s="20" t="s">
        <v>1330</v>
      </c>
      <c r="H58" s="20"/>
      <c r="I58" s="33" t="s">
        <v>1331</v>
      </c>
    </row>
    <row r="59" customFormat="false" ht="33.75" hidden="false" customHeight="true" outlineLevel="0" collapsed="false">
      <c r="A59" s="20" t="n">
        <v>55</v>
      </c>
      <c r="B59" s="20" t="s">
        <v>1332</v>
      </c>
      <c r="C59" s="20" t="s">
        <v>1333</v>
      </c>
      <c r="D59" s="20" t="s">
        <v>270</v>
      </c>
      <c r="E59" s="20" t="s">
        <v>1334</v>
      </c>
      <c r="F59" s="20"/>
      <c r="G59" s="20" t="s">
        <v>1335</v>
      </c>
      <c r="H59" s="20"/>
      <c r="I59" s="33" t="s">
        <v>1336</v>
      </c>
    </row>
    <row r="60" customFormat="false" ht="33.75" hidden="false" customHeight="true" outlineLevel="0" collapsed="false">
      <c r="A60" s="20" t="n">
        <v>56</v>
      </c>
      <c r="B60" s="20" t="s">
        <v>1337</v>
      </c>
      <c r="C60" s="20" t="s">
        <v>485</v>
      </c>
      <c r="D60" s="20" t="s">
        <v>1338</v>
      </c>
      <c r="E60" s="20" t="s">
        <v>1334</v>
      </c>
      <c r="F60" s="20"/>
      <c r="G60" s="20" t="s">
        <v>1339</v>
      </c>
      <c r="H60" s="20"/>
      <c r="I60" s="33" t="s">
        <v>1340</v>
      </c>
    </row>
    <row r="61" customFormat="false" ht="33.75" hidden="false" customHeight="true" outlineLevel="0" collapsed="false">
      <c r="A61" s="20" t="n">
        <v>57</v>
      </c>
      <c r="B61" s="20" t="s">
        <v>448</v>
      </c>
      <c r="C61" s="20" t="s">
        <v>1341</v>
      </c>
      <c r="D61" s="20" t="s">
        <v>332</v>
      </c>
      <c r="E61" s="20" t="s">
        <v>1334</v>
      </c>
      <c r="F61" s="20"/>
      <c r="G61" s="20" t="s">
        <v>1342</v>
      </c>
      <c r="H61" s="20"/>
      <c r="I61" s="33" t="s">
        <v>456</v>
      </c>
    </row>
    <row r="62" customFormat="false" ht="33.75" hidden="false" customHeight="true" outlineLevel="0" collapsed="false">
      <c r="A62" s="20" t="n">
        <v>58</v>
      </c>
      <c r="B62" s="20" t="s">
        <v>1343</v>
      </c>
      <c r="C62" s="20" t="s">
        <v>1344</v>
      </c>
      <c r="D62" s="20" t="s">
        <v>1345</v>
      </c>
      <c r="E62" s="20" t="s">
        <v>1334</v>
      </c>
      <c r="F62" s="20"/>
      <c r="G62" s="20" t="s">
        <v>1339</v>
      </c>
      <c r="H62" s="20"/>
      <c r="I62" s="33" t="s">
        <v>1346</v>
      </c>
    </row>
    <row r="63" customFormat="false" ht="33.75" hidden="false" customHeight="true" outlineLevel="0" collapsed="false">
      <c r="A63" s="20" t="n">
        <v>59</v>
      </c>
      <c r="B63" s="20" t="s">
        <v>517</v>
      </c>
      <c r="C63" s="20" t="s">
        <v>1347</v>
      </c>
      <c r="D63" s="20" t="s">
        <v>1348</v>
      </c>
      <c r="E63" s="20" t="s">
        <v>1334</v>
      </c>
      <c r="F63" s="20"/>
      <c r="G63" s="20" t="s">
        <v>1335</v>
      </c>
      <c r="H63" s="20"/>
      <c r="I63" s="33" t="s">
        <v>521</v>
      </c>
    </row>
    <row r="64" customFormat="false" ht="33.75" hidden="false" customHeight="true" outlineLevel="0" collapsed="false">
      <c r="A64" s="20" t="n">
        <v>60</v>
      </c>
      <c r="B64" s="20" t="s">
        <v>1349</v>
      </c>
      <c r="C64" s="20" t="s">
        <v>1350</v>
      </c>
      <c r="D64" s="20" t="s">
        <v>1351</v>
      </c>
      <c r="E64" s="20" t="s">
        <v>1334</v>
      </c>
      <c r="F64" s="20"/>
      <c r="G64" s="20" t="s">
        <v>1352</v>
      </c>
      <c r="H64" s="20"/>
      <c r="I64" s="33" t="s">
        <v>1353</v>
      </c>
    </row>
    <row r="65" customFormat="false" ht="33.75" hidden="false" customHeight="true" outlineLevel="0" collapsed="false">
      <c r="A65" s="20" t="n">
        <v>61</v>
      </c>
      <c r="B65" s="20" t="s">
        <v>1354</v>
      </c>
      <c r="C65" s="20" t="s">
        <v>1355</v>
      </c>
      <c r="D65" s="20" t="s">
        <v>332</v>
      </c>
      <c r="E65" s="20" t="s">
        <v>1334</v>
      </c>
      <c r="F65" s="20"/>
      <c r="G65" s="20" t="s">
        <v>1356</v>
      </c>
      <c r="H65" s="20"/>
      <c r="I65" s="33" t="s">
        <v>1357</v>
      </c>
    </row>
    <row r="66" customFormat="false" ht="33.75" hidden="false" customHeight="true" outlineLevel="0" collapsed="false">
      <c r="A66" s="20" t="n">
        <v>62</v>
      </c>
      <c r="B66" s="20" t="s">
        <v>1358</v>
      </c>
      <c r="C66" s="20" t="s">
        <v>1359</v>
      </c>
      <c r="D66" s="20" t="s">
        <v>332</v>
      </c>
      <c r="E66" s="20" t="s">
        <v>1334</v>
      </c>
      <c r="F66" s="20"/>
      <c r="G66" s="20" t="s">
        <v>1352</v>
      </c>
      <c r="H66" s="20"/>
      <c r="I66" s="33" t="s">
        <v>1360</v>
      </c>
    </row>
    <row r="67" customFormat="false" ht="33.75" hidden="false" customHeight="true" outlineLevel="0" collapsed="false">
      <c r="A67" s="20" t="n">
        <v>63</v>
      </c>
      <c r="B67" s="20" t="s">
        <v>1361</v>
      </c>
      <c r="C67" s="20" t="s">
        <v>485</v>
      </c>
      <c r="D67" s="20" t="s">
        <v>605</v>
      </c>
      <c r="E67" s="20" t="s">
        <v>1334</v>
      </c>
      <c r="F67" s="20"/>
      <c r="G67" s="20" t="s">
        <v>1352</v>
      </c>
      <c r="H67" s="20"/>
      <c r="I67" s="33" t="s">
        <v>1362</v>
      </c>
    </row>
    <row r="68" customFormat="false" ht="33.75" hidden="false" customHeight="true" outlineLevel="0" collapsed="false">
      <c r="A68" s="20" t="n">
        <v>64</v>
      </c>
      <c r="B68" s="20" t="s">
        <v>1363</v>
      </c>
      <c r="C68" s="20" t="s">
        <v>1364</v>
      </c>
      <c r="D68" s="20" t="s">
        <v>1365</v>
      </c>
      <c r="E68" s="20" t="s">
        <v>1334</v>
      </c>
      <c r="F68" s="20"/>
      <c r="G68" s="20" t="s">
        <v>1366</v>
      </c>
      <c r="H68" s="20"/>
      <c r="I68" s="33" t="s">
        <v>1367</v>
      </c>
    </row>
    <row r="69" customFormat="false" ht="33.75" hidden="false" customHeight="true" outlineLevel="0" collapsed="false">
      <c r="A69" s="20" t="n">
        <v>65</v>
      </c>
      <c r="B69" s="20" t="s">
        <v>1368</v>
      </c>
      <c r="C69" s="20" t="s">
        <v>1369</v>
      </c>
      <c r="D69" s="20" t="s">
        <v>218</v>
      </c>
      <c r="E69" s="20" t="s">
        <v>1334</v>
      </c>
      <c r="F69" s="20"/>
      <c r="G69" s="20" t="s">
        <v>1370</v>
      </c>
      <c r="H69" s="20"/>
      <c r="I69" s="33" t="s">
        <v>1371</v>
      </c>
    </row>
    <row r="70" customFormat="false" ht="33.75" hidden="false" customHeight="true" outlineLevel="0" collapsed="false">
      <c r="A70" s="20" t="n">
        <v>66</v>
      </c>
      <c r="B70" s="20" t="s">
        <v>1372</v>
      </c>
      <c r="C70" s="20" t="s">
        <v>1373</v>
      </c>
      <c r="D70" s="20" t="s">
        <v>1374</v>
      </c>
      <c r="E70" s="20" t="s">
        <v>1334</v>
      </c>
      <c r="F70" s="20"/>
      <c r="G70" s="20" t="s">
        <v>1352</v>
      </c>
      <c r="H70" s="20"/>
      <c r="I70" s="33" t="s">
        <v>1375</v>
      </c>
    </row>
    <row r="71" customFormat="false" ht="33.75" hidden="false" customHeight="true" outlineLevel="0" collapsed="false">
      <c r="A71" s="20" t="n">
        <v>67</v>
      </c>
      <c r="B71" s="20" t="s">
        <v>1372</v>
      </c>
      <c r="C71" s="20" t="s">
        <v>1376</v>
      </c>
      <c r="D71" s="20" t="s">
        <v>218</v>
      </c>
      <c r="E71" s="20" t="s">
        <v>1334</v>
      </c>
      <c r="F71" s="20"/>
      <c r="G71" s="20" t="s">
        <v>1352</v>
      </c>
      <c r="H71" s="20"/>
      <c r="I71" s="33" t="s">
        <v>1377</v>
      </c>
    </row>
    <row r="72" customFormat="false" ht="33.75" hidden="false" customHeight="true" outlineLevel="0" collapsed="false">
      <c r="A72" s="20" t="n">
        <v>68</v>
      </c>
      <c r="B72" s="20" t="s">
        <v>1378</v>
      </c>
      <c r="C72" s="20" t="s">
        <v>1379</v>
      </c>
      <c r="D72" s="20" t="s">
        <v>332</v>
      </c>
      <c r="E72" s="20" t="s">
        <v>1334</v>
      </c>
      <c r="F72" s="20"/>
      <c r="G72" s="20" t="s">
        <v>1352</v>
      </c>
      <c r="H72" s="20"/>
      <c r="I72" s="33" t="s">
        <v>1380</v>
      </c>
    </row>
    <row r="73" customFormat="false" ht="33.75" hidden="false" customHeight="true" outlineLevel="0" collapsed="false">
      <c r="A73" s="20" t="n">
        <v>69</v>
      </c>
      <c r="B73" s="20" t="s">
        <v>1381</v>
      </c>
      <c r="C73" s="20" t="s">
        <v>1382</v>
      </c>
      <c r="D73" s="20" t="s">
        <v>332</v>
      </c>
      <c r="E73" s="20" t="s">
        <v>1334</v>
      </c>
      <c r="F73" s="20"/>
      <c r="G73" s="20" t="s">
        <v>1352</v>
      </c>
      <c r="H73" s="20"/>
      <c r="I73" s="33" t="s">
        <v>1383</v>
      </c>
    </row>
    <row r="74" customFormat="false" ht="33.75" hidden="false" customHeight="true" outlineLevel="0" collapsed="false">
      <c r="A74" s="20" t="n">
        <v>70</v>
      </c>
      <c r="B74" s="20" t="s">
        <v>1384</v>
      </c>
      <c r="C74" s="20" t="s">
        <v>1385</v>
      </c>
      <c r="D74" s="20" t="s">
        <v>1386</v>
      </c>
      <c r="E74" s="20" t="s">
        <v>1334</v>
      </c>
      <c r="F74" s="20"/>
      <c r="G74" s="20" t="s">
        <v>1339</v>
      </c>
      <c r="H74" s="20"/>
      <c r="I74" s="33" t="s">
        <v>1387</v>
      </c>
    </row>
    <row r="75" customFormat="false" ht="33.75" hidden="false" customHeight="true" outlineLevel="0" collapsed="false">
      <c r="A75" s="20" t="n">
        <v>71</v>
      </c>
      <c r="B75" s="20" t="s">
        <v>1388</v>
      </c>
      <c r="C75" s="20" t="s">
        <v>1389</v>
      </c>
      <c r="D75" s="20" t="s">
        <v>341</v>
      </c>
      <c r="E75" s="20" t="s">
        <v>1334</v>
      </c>
      <c r="F75" s="20"/>
      <c r="G75" s="20" t="s">
        <v>1390</v>
      </c>
      <c r="H75" s="20"/>
      <c r="I75" s="33" t="s">
        <v>1391</v>
      </c>
    </row>
    <row r="76" customFormat="false" ht="33.75" hidden="false" customHeight="true" outlineLevel="0" collapsed="false">
      <c r="A76" s="20" t="n">
        <v>72</v>
      </c>
      <c r="B76" s="20" t="s">
        <v>1392</v>
      </c>
      <c r="C76" s="20" t="s">
        <v>1393</v>
      </c>
      <c r="D76" s="20" t="s">
        <v>332</v>
      </c>
      <c r="E76" s="20" t="s">
        <v>1334</v>
      </c>
      <c r="F76" s="20"/>
      <c r="G76" s="20" t="s">
        <v>1394</v>
      </c>
      <c r="H76" s="20"/>
      <c r="I76" s="33" t="s">
        <v>925</v>
      </c>
    </row>
    <row r="77" customFormat="false" ht="33.75" hidden="false" customHeight="true" outlineLevel="0" collapsed="false">
      <c r="A77" s="20" t="n">
        <v>73</v>
      </c>
      <c r="B77" s="20" t="s">
        <v>473</v>
      </c>
      <c r="C77" s="20" t="s">
        <v>1395</v>
      </c>
      <c r="D77" s="20" t="s">
        <v>1396</v>
      </c>
      <c r="E77" s="20" t="s">
        <v>1334</v>
      </c>
      <c r="F77" s="20"/>
      <c r="G77" s="20" t="s">
        <v>1397</v>
      </c>
      <c r="H77" s="20"/>
      <c r="I77" s="33" t="s">
        <v>1398</v>
      </c>
    </row>
    <row r="78" customFormat="false" ht="33.75" hidden="false" customHeight="true" outlineLevel="0" collapsed="false">
      <c r="A78" s="20" t="n">
        <v>74</v>
      </c>
      <c r="B78" s="20" t="s">
        <v>1399</v>
      </c>
      <c r="C78" s="20" t="s">
        <v>485</v>
      </c>
      <c r="D78" s="20" t="s">
        <v>1400</v>
      </c>
      <c r="E78" s="20" t="s">
        <v>1334</v>
      </c>
      <c r="F78" s="20"/>
      <c r="G78" s="20" t="s">
        <v>1339</v>
      </c>
      <c r="H78" s="20"/>
      <c r="I78" s="33" t="s">
        <v>1401</v>
      </c>
    </row>
    <row r="79" customFormat="false" ht="33.75" hidden="false" customHeight="true" outlineLevel="0" collapsed="false">
      <c r="A79" s="20" t="n">
        <v>75</v>
      </c>
      <c r="B79" s="20" t="s">
        <v>160</v>
      </c>
      <c r="C79" s="20" t="s">
        <v>1402</v>
      </c>
      <c r="D79" s="20" t="s">
        <v>162</v>
      </c>
      <c r="E79" s="20" t="s">
        <v>1334</v>
      </c>
      <c r="F79" s="20"/>
      <c r="G79" s="20" t="s">
        <v>1403</v>
      </c>
      <c r="H79" s="20"/>
      <c r="I79" s="33" t="s">
        <v>1404</v>
      </c>
    </row>
    <row r="80" customFormat="false" ht="33.75" hidden="false" customHeight="true" outlineLevel="0" collapsed="false">
      <c r="A80" s="20" t="n">
        <v>76</v>
      </c>
      <c r="B80" s="20" t="s">
        <v>1405</v>
      </c>
      <c r="C80" s="20" t="s">
        <v>1406</v>
      </c>
      <c r="D80" s="20" t="s">
        <v>1407</v>
      </c>
      <c r="E80" s="20" t="s">
        <v>1334</v>
      </c>
      <c r="F80" s="20"/>
      <c r="G80" s="20" t="s">
        <v>1408</v>
      </c>
      <c r="H80" s="20"/>
      <c r="I80" s="33" t="s">
        <v>771</v>
      </c>
    </row>
    <row r="81" customFormat="false" ht="33.75" hidden="false" customHeight="true" outlineLevel="0" collapsed="false">
      <c r="A81" s="20" t="n">
        <v>77</v>
      </c>
      <c r="B81" s="20" t="s">
        <v>730</v>
      </c>
      <c r="C81" s="20" t="s">
        <v>1409</v>
      </c>
      <c r="D81" s="20" t="s">
        <v>332</v>
      </c>
      <c r="E81" s="20" t="s">
        <v>1334</v>
      </c>
      <c r="F81" s="20"/>
      <c r="G81" s="20" t="s">
        <v>1410</v>
      </c>
      <c r="H81" s="20"/>
      <c r="I81" s="33" t="s">
        <v>736</v>
      </c>
    </row>
    <row r="82" customFormat="false" ht="33.75" hidden="false" customHeight="true" outlineLevel="0" collapsed="false">
      <c r="A82" s="20" t="n">
        <v>78</v>
      </c>
      <c r="B82" s="20" t="s">
        <v>428</v>
      </c>
      <c r="C82" s="20" t="s">
        <v>1411</v>
      </c>
      <c r="D82" s="20" t="s">
        <v>1412</v>
      </c>
      <c r="E82" s="20" t="s">
        <v>1334</v>
      </c>
      <c r="F82" s="20"/>
      <c r="G82" s="20" t="s">
        <v>1335</v>
      </c>
      <c r="H82" s="20"/>
      <c r="I82" s="33" t="s">
        <v>1285</v>
      </c>
    </row>
    <row r="83" customFormat="false" ht="33.75" hidden="false" customHeight="true" outlineLevel="0" collapsed="false">
      <c r="A83" s="20" t="n">
        <v>79</v>
      </c>
      <c r="B83" s="20" t="s">
        <v>428</v>
      </c>
      <c r="C83" s="20" t="s">
        <v>1413</v>
      </c>
      <c r="D83" s="20" t="s">
        <v>332</v>
      </c>
      <c r="E83" s="20" t="s">
        <v>1334</v>
      </c>
      <c r="F83" s="20"/>
      <c r="G83" s="20" t="s">
        <v>1335</v>
      </c>
      <c r="H83" s="20"/>
      <c r="I83" s="33" t="s">
        <v>1414</v>
      </c>
    </row>
    <row r="84" customFormat="false" ht="33.75" hidden="false" customHeight="true" outlineLevel="0" collapsed="false">
      <c r="A84" s="20" t="n">
        <v>80</v>
      </c>
      <c r="B84" s="20" t="s">
        <v>407</v>
      </c>
      <c r="C84" s="20" t="s">
        <v>1415</v>
      </c>
      <c r="D84" s="20" t="s">
        <v>332</v>
      </c>
      <c r="E84" s="20" t="s">
        <v>1334</v>
      </c>
      <c r="F84" s="20"/>
      <c r="G84" s="20" t="s">
        <v>1416</v>
      </c>
      <c r="H84" s="20"/>
      <c r="I84" s="33" t="s">
        <v>1417</v>
      </c>
    </row>
    <row r="85" customFormat="false" ht="33.75" hidden="false" customHeight="true" outlineLevel="0" collapsed="false">
      <c r="A85" s="20" t="n">
        <v>81</v>
      </c>
      <c r="B85" s="20" t="s">
        <v>1418</v>
      </c>
      <c r="C85" s="20" t="s">
        <v>1419</v>
      </c>
      <c r="D85" s="20" t="s">
        <v>332</v>
      </c>
      <c r="E85" s="20" t="s">
        <v>1334</v>
      </c>
      <c r="F85" s="20"/>
      <c r="G85" s="20" t="s">
        <v>1408</v>
      </c>
      <c r="H85" s="20"/>
      <c r="I85" s="33" t="s">
        <v>1420</v>
      </c>
    </row>
    <row r="86" customFormat="false" ht="33.75" hidden="false" customHeight="true" outlineLevel="0" collapsed="false">
      <c r="A86" s="20" t="n">
        <v>82</v>
      </c>
      <c r="B86" s="20" t="s">
        <v>1421</v>
      </c>
      <c r="C86" s="20" t="s">
        <v>1422</v>
      </c>
      <c r="D86" s="20" t="s">
        <v>332</v>
      </c>
      <c r="E86" s="20" t="s">
        <v>1334</v>
      </c>
      <c r="F86" s="20"/>
      <c r="G86" s="20" t="s">
        <v>1423</v>
      </c>
      <c r="H86" s="20"/>
      <c r="I86" s="33" t="s">
        <v>1424</v>
      </c>
    </row>
    <row r="87" customFormat="false" ht="33.75" hidden="false" customHeight="true" outlineLevel="0" collapsed="false">
      <c r="A87" s="20" t="n">
        <v>83</v>
      </c>
      <c r="B87" s="20" t="s">
        <v>1425</v>
      </c>
      <c r="C87" s="20" t="s">
        <v>1426</v>
      </c>
      <c r="D87" s="20" t="s">
        <v>1427</v>
      </c>
      <c r="E87" s="20" t="s">
        <v>1334</v>
      </c>
      <c r="F87" s="20"/>
      <c r="G87" s="20" t="s">
        <v>1352</v>
      </c>
      <c r="H87" s="20"/>
      <c r="I87" s="33" t="s">
        <v>1428</v>
      </c>
    </row>
    <row r="88" customFormat="false" ht="33.75" hidden="false" customHeight="true" outlineLevel="0" collapsed="false">
      <c r="A88" s="20" t="n">
        <v>84</v>
      </c>
      <c r="B88" s="20" t="s">
        <v>1429</v>
      </c>
      <c r="C88" s="20" t="s">
        <v>1430</v>
      </c>
      <c r="D88" s="20" t="s">
        <v>1431</v>
      </c>
      <c r="E88" s="20" t="s">
        <v>1334</v>
      </c>
      <c r="F88" s="20"/>
      <c r="G88" s="20" t="s">
        <v>1432</v>
      </c>
      <c r="H88" s="20"/>
      <c r="I88" s="33" t="s">
        <v>1433</v>
      </c>
    </row>
    <row r="89" customFormat="false" ht="33.75" hidden="false" customHeight="true" outlineLevel="0" collapsed="false">
      <c r="A89" s="20" t="n">
        <v>85</v>
      </c>
      <c r="B89" s="20" t="s">
        <v>1434</v>
      </c>
      <c r="C89" s="20" t="s">
        <v>1435</v>
      </c>
      <c r="D89" s="20" t="s">
        <v>332</v>
      </c>
      <c r="E89" s="20" t="s">
        <v>1334</v>
      </c>
      <c r="F89" s="20"/>
      <c r="G89" s="20" t="s">
        <v>1436</v>
      </c>
      <c r="H89" s="20"/>
      <c r="I89" s="33" t="s">
        <v>1437</v>
      </c>
    </row>
    <row r="90" customFormat="false" ht="33.75" hidden="false" customHeight="true" outlineLevel="0" collapsed="false">
      <c r="A90" s="20" t="n">
        <v>86</v>
      </c>
      <c r="B90" s="20" t="s">
        <v>1185</v>
      </c>
      <c r="C90" s="20" t="s">
        <v>1438</v>
      </c>
      <c r="D90" s="20" t="s">
        <v>605</v>
      </c>
      <c r="E90" s="20" t="s">
        <v>1334</v>
      </c>
      <c r="F90" s="20"/>
      <c r="G90" s="20" t="s">
        <v>1432</v>
      </c>
      <c r="H90" s="20"/>
      <c r="I90" s="33" t="s">
        <v>1439</v>
      </c>
    </row>
    <row r="91" customFormat="false" ht="33.75" hidden="false" customHeight="true" outlineLevel="0" collapsed="false">
      <c r="A91" s="20" t="n">
        <v>87</v>
      </c>
      <c r="B91" s="20" t="s">
        <v>1185</v>
      </c>
      <c r="C91" s="20" t="s">
        <v>1440</v>
      </c>
      <c r="D91" s="20" t="s">
        <v>605</v>
      </c>
      <c r="E91" s="20" t="s">
        <v>1334</v>
      </c>
      <c r="F91" s="20"/>
      <c r="G91" s="20" t="s">
        <v>1432</v>
      </c>
      <c r="H91" s="20"/>
      <c r="I91" s="33" t="s">
        <v>1441</v>
      </c>
    </row>
    <row r="92" customFormat="false" ht="33.75" hidden="false" customHeight="true" outlineLevel="0" collapsed="false">
      <c r="A92" s="20" t="n">
        <v>88</v>
      </c>
      <c r="B92" s="20" t="s">
        <v>1185</v>
      </c>
      <c r="C92" s="20" t="s">
        <v>1442</v>
      </c>
      <c r="D92" s="20" t="s">
        <v>605</v>
      </c>
      <c r="E92" s="20" t="s">
        <v>1334</v>
      </c>
      <c r="F92" s="20"/>
      <c r="G92" s="20" t="s">
        <v>1432</v>
      </c>
      <c r="H92" s="20"/>
      <c r="I92" s="33" t="s">
        <v>1443</v>
      </c>
    </row>
    <row r="93" customFormat="false" ht="33.75" hidden="false" customHeight="true" outlineLevel="0" collapsed="false">
      <c r="A93" s="20" t="n">
        <v>89</v>
      </c>
      <c r="B93" s="20" t="s">
        <v>1190</v>
      </c>
      <c r="C93" s="20" t="s">
        <v>1444</v>
      </c>
      <c r="D93" s="20" t="s">
        <v>1445</v>
      </c>
      <c r="E93" s="20" t="s">
        <v>1334</v>
      </c>
      <c r="F93" s="20"/>
      <c r="G93" s="20" t="s">
        <v>1339</v>
      </c>
      <c r="H93" s="20"/>
      <c r="I93" s="33" t="s">
        <v>1446</v>
      </c>
    </row>
    <row r="94" customFormat="false" ht="33.75" hidden="false" customHeight="true" outlineLevel="0" collapsed="false">
      <c r="A94" s="20" t="n">
        <v>90</v>
      </c>
      <c r="B94" s="20" t="s">
        <v>1447</v>
      </c>
      <c r="C94" s="20" t="s">
        <v>1448</v>
      </c>
      <c r="D94" s="20" t="s">
        <v>332</v>
      </c>
      <c r="E94" s="20" t="s">
        <v>1334</v>
      </c>
      <c r="F94" s="20"/>
      <c r="G94" s="20" t="s">
        <v>1432</v>
      </c>
      <c r="H94" s="20"/>
      <c r="I94" s="33" t="s">
        <v>1449</v>
      </c>
    </row>
    <row r="95" customFormat="false" ht="33.75" hidden="false" customHeight="true" outlineLevel="0" collapsed="false">
      <c r="A95" s="20" t="n">
        <v>91</v>
      </c>
      <c r="B95" s="20" t="s">
        <v>307</v>
      </c>
      <c r="C95" s="20" t="s">
        <v>1450</v>
      </c>
      <c r="D95" s="20" t="s">
        <v>218</v>
      </c>
      <c r="E95" s="20" t="s">
        <v>1334</v>
      </c>
      <c r="F95" s="20"/>
      <c r="G95" s="20" t="s">
        <v>1339</v>
      </c>
      <c r="H95" s="20"/>
      <c r="I95" s="33" t="s">
        <v>1451</v>
      </c>
    </row>
    <row r="96" customFormat="false" ht="33.75" hidden="false" customHeight="true" outlineLevel="0" collapsed="false">
      <c r="A96" s="20" t="n">
        <v>92</v>
      </c>
      <c r="B96" s="20" t="s">
        <v>1452</v>
      </c>
      <c r="C96" s="20" t="s">
        <v>1453</v>
      </c>
      <c r="D96" s="20" t="s">
        <v>332</v>
      </c>
      <c r="E96" s="20" t="s">
        <v>1334</v>
      </c>
      <c r="F96" s="20"/>
      <c r="G96" s="20" t="s">
        <v>1454</v>
      </c>
      <c r="H96" s="20"/>
      <c r="I96" s="33" t="s">
        <v>1455</v>
      </c>
    </row>
    <row r="97" customFormat="false" ht="33.75" hidden="false" customHeight="true" outlineLevel="0" collapsed="false">
      <c r="A97" s="20" t="n">
        <v>93</v>
      </c>
      <c r="B97" s="20" t="s">
        <v>659</v>
      </c>
      <c r="C97" s="20" t="s">
        <v>1456</v>
      </c>
      <c r="D97" s="20" t="s">
        <v>128</v>
      </c>
      <c r="E97" s="20" t="s">
        <v>1457</v>
      </c>
      <c r="F97" s="20"/>
      <c r="G97" s="20" t="s">
        <v>1458</v>
      </c>
      <c r="H97" s="20"/>
      <c r="I97" s="33" t="s">
        <v>666</v>
      </c>
    </row>
    <row r="98" customFormat="false" ht="33.75" hidden="false" customHeight="true" outlineLevel="0" collapsed="false">
      <c r="A98" s="20" t="n">
        <v>94</v>
      </c>
      <c r="B98" s="20" t="s">
        <v>827</v>
      </c>
      <c r="C98" s="20" t="s">
        <v>1459</v>
      </c>
      <c r="D98" s="20" t="s">
        <v>793</v>
      </c>
      <c r="E98" s="20" t="s">
        <v>1457</v>
      </c>
      <c r="F98" s="20"/>
      <c r="G98" s="20" t="s">
        <v>1460</v>
      </c>
      <c r="H98" s="20"/>
      <c r="I98" s="33" t="s">
        <v>830</v>
      </c>
    </row>
  </sheetData>
  <autoFilter ref="A4:I98"/>
  <conditionalFormatting sqref="E5:E98">
    <cfRule type="expression" priority="2" aboveAverage="0" equalAverage="0" bottom="0" percent="0" rank="0" text="" dxfId="39">
      <formula>LEFT(E5,6)="KAPALI"</formula>
    </cfRule>
    <cfRule type="expression" priority="3" aboveAverage="0" equalAverage="0" bottom="0" percent="0" rank="0" text="" dxfId="38">
      <formula>LEFT(E5,10)="MUHTEMELEN"</formula>
    </cfRule>
    <cfRule type="expression" priority="4" aboveAverage="0" equalAverage="0" bottom="0" percent="0" rank="0" text="" dxfId="34">
      <formula>LEFT(E5,8)="LOKASYON"</formula>
    </cfRule>
  </conditionalFormatting>
  <hyperlinks>
    <hyperlink ref="I5" r:id="rId1" display="https://karriere.sn.at/job/junior-it-security-consultant-m-w-57213"/>
    <hyperlink ref="I6" r:id="rId2" display="https://at.linkedin.com/jobs/view/mid-senior-level-microsoft-365-azure-security-expert-in-in-salzburg-german-speaking-c1+-at-locke-and-mccloud-3969078683"/>
    <hyperlink ref="I7" r:id="rId3" display="https://www.sercanto.at/detail/a/local-information-security-officer-porsche-versicherung-w-m-d_salzburg_50965292"/>
    <hyperlink ref="I8" r:id="rId4" display="https://at.linkedin.com/jobs/view/information-security-officer-w-m-d-at-porsche-holding-3834467031"/>
    <hyperlink ref="I9" r:id="rId5" display="https://www.karriere.at/jobs/7089682"/>
    <hyperlink ref="I10" r:id="rId6" display="https://www.porscheinformatik.com/en/career/jobs/job/9292/"/>
    <hyperlink ref="I11" r:id="rId7" display="https://jobs.smartrecruiters.com/RedBull/743999992355016-it-security-professional"/>
    <hyperlink ref="I12" r:id="rId8" display="https://jobs.redbull.com/at-de/elsbethen-it-infrastructure-security-consultant-139478-056623"/>
    <hyperlink ref="I13" r:id="rId9" display="https://karriere.sn.at/job/information-security-expert-m-w-mit-fokus-isms-und-it-prozesse-76780"/>
    <hyperlink ref="I14" r:id="rId10" display="https://www.karriere.at/jobs/7375921"/>
    <hyperlink ref="I15" r:id="rId11" display="https://jobs.salzburg24.at/job/identity-and-access-management-expert-m-w-d-60493"/>
    <hyperlink ref="I16" r:id="rId12" display="https://karriere.sn.at/job/it-information-security-managerin-62482"/>
    <hyperlink ref="I17" r:id="rId13" display="https://karriere.salzburg-ag.at/Systems-Engineer-all-genders-de-j1697.html"/>
    <hyperlink ref="I18" r:id="rId14" display="https://karriere.sn.at/job/smart-meter-cyber-security-engineer-w-m-d-50364"/>
    <hyperlink ref="I19" r:id="rId15" display="https://jobs.salzburgerfestspiele.at/IT-System-Administrator-mwd-de-j366.html"/>
    <hyperlink ref="I20" r:id="rId16" display="https://www.arbeitsagentur.de/jobsuche/jobdetail/10001-1002005166-S"/>
    <hyperlink ref="I21" r:id="rId17" display="https://karriere.sn.at/job/it-systems-engineer-schwerpunkt-it-security-w-m-d-58708"/>
    <hyperlink ref="I22" r:id="rId18" display="https://karriere.sn.at/job/it-security-engineer-awarness-training-and-security-roadmap-109963"/>
    <hyperlink ref="I23" r:id="rId19" display="https://join.com/companies/dm/13999655-it-netzwerkadministrator-im-bereich-filialnetzwerk-w-m-x"/>
    <hyperlink ref="I24" r:id="rId20" display="https://job.epunkt.com/stellen/senior-it-systemadministrator-w-m-x-stelle-salzburg-318964-21.html"/>
    <hyperlink ref="I25" r:id="rId21" display="https://www.acp-gruppe.com/de-at/karriere/salzburg"/>
    <hyperlink ref="I26" r:id="rId22" display="https://www.karriere.at/jobs/7728740"/>
    <hyperlink ref="I27" r:id="rId23" display="https://www.evgroup.com/de/karriere/jobs/it-systemadministration-und-applikationsbetreuung-mwx-1"/>
    <hyperlink ref="I28" r:id="rId24" display="https://jobs.salzburg24.at/job/chief-information-security-officer-ciso-m-w-117592"/>
    <hyperlink ref="I29" r:id="rId25" display="https://jobs.ktm.com/Job/1004"/>
    <hyperlink ref="I30" r:id="rId26" display="https://www.karriere.at/jobs/7744079"/>
    <hyperlink ref="I31" r:id="rId27" display="https://www.karriere.at/jobs/7635471"/>
    <hyperlink ref="I32" r:id="rId28" display="https://karriere.sn.at/job/2026-13930-senior-it-systemadministratorin-117951"/>
    <hyperlink ref="I33" r:id="rId29" display="https://www.karriere.at/jobs/7736975"/>
    <hyperlink ref="I34" r:id="rId30" display="https://www.palfinger.com/en-us/career/jobs/pmo-manager-ict-m/w/d_k_1731579"/>
    <hyperlink ref="I35" r:id="rId31" display="https://www.palfinger.com/en/career/jobs/mitarbeiter-globaler-support-ict-w/m/d_k_519132"/>
    <hyperlink ref="I36" r:id="rId32" display="https://www.karriere.at/jobs/7790513"/>
    <hyperlink ref="I37" r:id="rId33" display="https://www.salzburgerjobs.at/jobs/teamleitung-cyber-defense-center-w-m-d,75188"/>
    <hyperlink ref="I38" r:id="rId34" display="https://www.porscheinformatik.com/jobs-karriere/aktuelle-stellenangebote/job/7799/"/>
    <hyperlink ref="I39" r:id="rId35" display="https://en.devjobs.at/job/e3b1affb48d145bac5dc3e7d920e8c88"/>
    <hyperlink ref="I40" r:id="rId36" display="https://www.karriere.at/jobs/7785368"/>
    <hyperlink ref="H41" r:id="rId37" display="https://jobs.redbull.com/at-de/elsbethen-team-lead-infrastructure-security-ref22800c"/>
    <hyperlink ref="I41" r:id="rId38" display="https://jobs.redbull.com/gb-en/elsbethen-team-lead-infrastructure-security-ref22800c"/>
    <hyperlink ref="I42" r:id="rId39" display="https://jobs.redbull.com/at-de/elsbethen-network-security-manager-ref16219p?lang=en"/>
    <hyperlink ref="I43" r:id="rId40" display="https://jobs.redbull.com/at-de/elsbethen-service-manager-crypto-services-ref22969s?lang=en"/>
    <hyperlink ref="I44" r:id="rId41" display="https://jobs.redbull.com/at-de/elsbethen-it-application-manager-itsm-ref19175d?lang=en"/>
    <hyperlink ref="I45" r:id="rId42" display="https://jobs.redbull.com/us-en/elsbethen-it-system-architect-ref20422d"/>
    <hyperlink ref="I46" r:id="rId43" display="https://www.spar-ics.com/de/career/offene-stellen-engineering"/>
    <hyperlink ref="I47" r:id="rId44" display="https://www.karriere.at/jobs/7737818"/>
    <hyperlink ref="I48" r:id="rId45" display="https://jobs.salzburg24.at/job/it-infrastructure-systems-engineer-all-genders-118630"/>
    <hyperlink ref="I49" r:id="rId46" display="https://karriere.salzburg-ag.at/Systemadministratorin-Leitsysteme-de-j2363.html"/>
    <hyperlink ref="I50" r:id="rId47" display="https://karriere.salzburg-ag.at/IT-Solution-Engineer-de-j2405.html"/>
    <hyperlink ref="I51" r:id="rId48" display="https://karriere.salzburg-ag.at/IT-Systems-Engineer-IAM-Identity-and-Access-Management-de-j2602.html"/>
    <hyperlink ref="I52" r:id="rId49" display="https://www.karriere.at/jobs/7777187"/>
    <hyperlink ref="I53" r:id="rId50" display="https://jobs.salzburg24.at/job/it-system-administrator-f-m-d-1-118179"/>
    <hyperlink ref="I54" r:id="rId51" display="https://www.karriere.at/jobs/7753049"/>
    <hyperlink ref="I55" r:id="rId52" display="https://www.karriere.at/jobs/7741736"/>
    <hyperlink ref="I56" r:id="rId53" display="https://www.karriere.at/jobs/7702187"/>
    <hyperlink ref="I57" r:id="rId54" display="https://www.karriere.at/jobs/7856051"/>
    <hyperlink ref="I58" r:id="rId55" display="https://www.karriere.at/jobs/7835534"/>
    <hyperlink ref="I59" r:id="rId56" display="https://www.stepstone.at/stellenangebote--Infrastruktur-und-Security-Operator-m-w-x-Ranshofen-AMAG-Austria-Metall-AG--660825-inline.html"/>
    <hyperlink ref="I60" r:id="rId57" display="https://www.karriere.at/jobs/manager/braunau-am-inn-bezirk"/>
    <hyperlink ref="I61" r:id="rId58" display="https://www.spaengler.at/bankhaus/karriere/"/>
    <hyperlink ref="I62" r:id="rId59" display="https://www.karriere.at/jobs/it/zell-am-see-bezirk"/>
    <hyperlink ref="I63" r:id="rId60" display="https://jobs.cancom.com/"/>
    <hyperlink ref="I64" r:id="rId61" display="https://www.karriere.at/jobs/it-security/salzburg"/>
    <hyperlink ref="I65" r:id="rId62" display="https://eds.at/personal/jobangebote"/>
    <hyperlink ref="I66" r:id="rId63" display="https://www.stepstone.at/jobs/it-sicherheit/in-salzburg"/>
    <hyperlink ref="I67" r:id="rId64" display="https://www.jobs.at/j/it-techniker/wals-siezenheim"/>
    <hyperlink ref="I68" r:id="rId65" display="https://jobs.derstandard.at/detail/b41a48fc-460c-32e1-9d99-e90f4df73fdf"/>
    <hyperlink ref="I69" r:id="rId66" display="https://at.jooble.org/jdp/4838579151382969489/Teamleitung-Cyber-Security-(w/m/x)-Salzburg-(Stadt)"/>
    <hyperlink ref="I70" r:id="rId67" display="https://www.karriere.at/jobs/it/hallein-bezirk"/>
    <hyperlink ref="I71" r:id="rId68" display="https://www.karriere.at/jobs/soc-analyst"/>
    <hyperlink ref="I72" r:id="rId69" display="https://www.stepstone.de/jobs/it-projektmanager/in-salzburg"/>
    <hyperlink ref="I73" r:id="rId70" display="https://www.stepstone.at/jobs/it-systemadministrator-in/in-salzburg"/>
    <hyperlink ref="I74" r:id="rId71" display="https://www.jobs.at/j/it-techniker/zell-am-see-bezirk"/>
    <hyperlink ref="I75" r:id="rId72" display="https://www.glassdoor.com/Job/remote-iso-27001-lead-auditor-jobs-SRCH_IL.0,6_IS11047_KO7,29.htm"/>
    <hyperlink ref="I76" r:id="rId73" display="https://www.manpower.at/jobs/it-administrator/salzburg"/>
    <hyperlink ref="I77" r:id="rId74" display="https://www.karriere.at/jobs/nts"/>
    <hyperlink ref="I78" r:id="rId75" display="https://www.karriere.at/jobs/it-techniker/braunau-am-inn-bezirk"/>
    <hyperlink ref="I79" r:id="rId76" display="https://freehire.me/jobs/application-security-service-manager-red-bull-2zaaqage"/>
    <hyperlink ref="I80" r:id="rId77" display="https://careers.rosewoodhotelgroup.com/"/>
    <hyperlink ref="I81" r:id="rId78" display="https://salk.at/jobs/"/>
    <hyperlink ref="I82" r:id="rId79" display="https://www.spar-ics.com/de/career/offene-stellen-engineering"/>
    <hyperlink ref="I83" r:id="rId80" display="https://www.spar-ics.com/de/career/offene-stellen-operating"/>
    <hyperlink ref="I84" r:id="rId81" display="https://karriere.salzburg-ag.at/"/>
    <hyperlink ref="I85" r:id="rId82" display="https://www.hotelcareer.com/jobs/sheraton-grand-salzburg-2983"/>
    <hyperlink ref="I86" r:id="rId83" display="https://www.glassdoor.com/Jobs/Magistratsdirektion-der-Stadt-Salzburg-Jobs-E1067604.htm"/>
    <hyperlink ref="I87" r:id="rId84" display="https://www.karriere.at/jobs/it-risk-manager"/>
    <hyperlink ref="I88" r:id="rId85" display="https://www.jobleads.com/us/job/remote-iso-27001-information-security-auditor-lead--germany--e8a052393e242a1213a6a62bbe0cefa3c"/>
    <hyperlink ref="I89" r:id="rId86" display="https://devjobs.at/job/01712467fcc0db6a961316f50eac7261"/>
    <hyperlink ref="I90" r:id="rId87" display="https://hokify.at/job/20167057"/>
    <hyperlink ref="I91" r:id="rId88" display="https://join.com/companies/dm/13823701-it-netzwerktechniker-in"/>
    <hyperlink ref="I92" r:id="rId89" display="https://join.com/companies/dm/13093211-it-systemspezialist-w-m-x-schwerpunkt-ip-telefonie"/>
    <hyperlink ref="I93" r:id="rId90" display="https://www.karriere.at/jobs/it-techniker/tennengau"/>
    <hyperlink ref="I94" r:id="rId91" display="https://www.jobijoba.de/detailanzeige/9/339e81611f4c3deb6bd9e30c02325f5f"/>
    <hyperlink ref="I95" r:id="rId92" display="https://www.karriere.at/jobs/information-security/salzburg"/>
    <hyperlink ref="I96" r:id="rId93" display="https://www.karriere.at/f/%C3%B6wd-security-services"/>
    <hyperlink ref="I97" r:id="rId94" display="https://joinus.inditexcareers.com/en/austria/"/>
    <hyperlink ref="I98" r:id="rId95" display="https://www.mindsetters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6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2026-09-27T13:39:42Z</dcterms:created>
  <dc:creator>openpyxl</dc:creator>
  <dc:description/>
  <dc:language>en-US</dc:language>
  <cp:lastModifiedBy/>
  <dcterms:modified xsi:type="dcterms:W3CDTF">2026-09-27T13:39:42Z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