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Özet" sheetId="1" state="visible" r:id="rId3"/>
    <sheet name="İlanlar" sheetId="2" state="visible" r:id="rId4"/>
    <sheet name="Firmalar" sheetId="3" state="visible" r:id="rId5"/>
    <sheet name="Kariyer Firmaları" sheetId="4" state="visible" r:id="rId6"/>
    <sheet name="İş Portalları" sheetId="5" state="visible" r:id="rId7"/>
    <sheet name="Eksikler &amp; Aksiyon" sheetId="6" state="visible" r:id="rId8"/>
    <sheet name="Maaş &amp; Kaynaklar" sheetId="7" state="visible" r:id="rId9"/>
    <sheet name="Önceki Liste Kontrolü" sheetId="8" state="visible" r:id="rId10"/>
    <sheet name="Elenen İlanlar (tarama)" sheetId="9" state="visible" r:id="rId11"/>
    <sheet name="Tarama Günlüğü" sheetId="10" state="visible" r:id="rId12"/>
  </sheets>
  <definedNames>
    <definedName function="false" hidden="true" localSheetId="8" name="_xlnm._FilterDatabase" vbProcedure="false">'Elenen İlanlar (tarama)'!$A$4:$F$118</definedName>
    <definedName function="false" hidden="true" localSheetId="2" name="_xlnm._FilterDatabase" vbProcedure="false">Firmalar!$A$4:$H$81</definedName>
    <definedName function="false" hidden="true" localSheetId="1" name="_xlnm._FilterDatabase" vbProcedure="false">İlanlar!$A$4:$AE$126</definedName>
    <definedName function="false" hidden="true" localSheetId="3" name="_xlnm._FilterDatabase" vbProcedure="false">'Kariyer Firmaları'!$A$4:$H$31</definedName>
    <definedName function="false" hidden="true" localSheetId="7" name="_xlnm._FilterDatabase" vbProcedure="false">'Önceki Liste Kontrolü'!$A$4:$H$48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N4" authorId="0">
      <text>
        <r>
          <rPr>
            <sz val="10"/>
            <rFont val="Arial"/>
            <family val="2"/>
          </rPr>
          <t xml:space="preserve">27.09.2026 tarihinde her link açıldı: HTTP 200, ilan sayfası (yönlendirme yok) ve sayfa başlığında pozisyon adı. Kapanan ilanlar karriere.at'te arama sayfasına yönlenir ve elenir.</t>
        </r>
      </text>
    </comment>
    <comment ref="Z4" authorId="0">
      <text>
        <r>
          <rPr>
            <sz val="10"/>
            <rFont val="Arial"/>
            <family val="2"/>
          </rPr>
          <t xml:space="preserve">Uyum % = Σ(puan × ağırlık) / 5. Ağırlıklar Özet sayfasındaki sarı hücrelerden gelir.</t>
        </r>
      </text>
    </comment>
  </commentList>
</comments>
</file>

<file path=xl/sharedStrings.xml><?xml version="1.0" encoding="utf-8"?>
<sst xmlns="http://schemas.openxmlformats.org/spreadsheetml/2006/main" count="4155" uniqueCount="2033">
  <si>
    <t xml:space="preserve">Salzburg ve Çevresi – IT &amp; Cyber Security İş İlanları (CANLI TARAMA)</t>
  </si>
  <si>
    <t xml:space="preserve">Aday: Evren Selvi · Canlı tarama 27.09.2026 · karriere.at + LinkedIn + Red Bull resmi portalı + ACP portalı · 122 aktif ilan, her linki açılıp başlığı eşleştirildi</t>
  </si>
  <si>
    <t xml:space="preserve">ADAY PROFİLİ (CV'den)</t>
  </si>
  <si>
    <t xml:space="preserve">Konum</t>
  </si>
  <si>
    <t xml:space="preserve">Salzburg, Avusturya – hemen başlayabilir; Avusturya'da çalışma izni var</t>
  </si>
  <si>
    <t xml:space="preserve">Deneyim</t>
  </si>
  <si>
    <t xml:space="preserve">15+ yıl kurumsal IT: IT Manager (Inditex, 2021–23) · ISMS Executive (2016–21) · Senior IT Project Resp. (2012–16) · M&amp;S/GAP Retail IT Ops (2007–12)</t>
  </si>
  <si>
    <t xml:space="preserve">Güçlü yönler</t>
  </si>
  <si>
    <t xml:space="preserve">200+ mağaza / 17.000 cihaz IT operasyonu · ISO 27001 ISMS (5 yıl) · AD / Windows Server · Hyper-V/Proxmox · backup/DR · VLAN/VPN/firewall · ITIL · bütçe &amp; tedarikçi yönetimi</t>
  </si>
  <si>
    <t xml:space="preserve">Sertifikalar</t>
  </si>
  <si>
    <t xml:space="preserve">ISO 27001 Internal Auditor · ITIL (Axelos) · MCDBA · SQL Server 2005/2008 · Excel Expert · Linux eğitimi (İTÜ)</t>
  </si>
  <si>
    <t xml:space="preserve">Diller</t>
  </si>
  <si>
    <t xml:space="preserve">Türkçe (ana dil) · İngilizce (ileri) · Almanca B1/B2</t>
  </si>
  <si>
    <t xml:space="preserve">Aranan alanlar (tek liste)</t>
  </si>
  <si>
    <t xml:space="preserve">IT altyapı/operasyon · IT yönetimi · ISMS / Information Security · Cyber Security · IT servis (ITIL) · IT proje · sistem/ağ yönetimi · IT destek</t>
  </si>
  <si>
    <t xml:space="preserve">PUANLAMA AĞIRLIKLARI (sarı hücreler değiştirilebilir – tüm puanlar otomatik güncellenir)</t>
  </si>
  <si>
    <t xml:space="preserve">Kriter</t>
  </si>
  <si>
    <t xml:space="preserve">Ağırlık</t>
  </si>
  <si>
    <t xml:space="preserve">Açıklama</t>
  </si>
  <si>
    <t xml:space="preserve">Teknik uyum</t>
  </si>
  <si>
    <t xml:space="preserve">İlan metnindeki beceriler ↔ CV: ISO 27001/ISMS, ITIL, AD/Windows Server, sanallaştırma, backup/DR, ağ/firewall, SQL, proje/tedarikçi/bütçe yönetimi. Eksikler (Azure, SIEM, scripting, SAP…) puan düşürür</t>
  </si>
  <si>
    <t xml:space="preserve">Deneyim / kıdem uyumu</t>
  </si>
  <si>
    <t xml:space="preserve">15+ yıl, yönetici seviyesi; junior / 1st-level roller düşük (overqualified)</t>
  </si>
  <si>
    <t xml:space="preserve">Dil uyumu</t>
  </si>
  <si>
    <t xml:space="preserve">İlanın gerçek dil şartı metinden okundu (skala aşağıda). 27.09 güncellemesi: İngilizce öncelikli – ağırlık %20→%30, Almanca isteyen ilanların puanı düşürüldü</t>
  </si>
  <si>
    <t xml:space="preserve">Sektör / kültür</t>
  </si>
  <si>
    <t xml:space="preserve">Perakende / FMCG / çok lokasyonlu kurumsal = artı</t>
  </si>
  <si>
    <t xml:space="preserve">Lokasyon / ulaşım</t>
  </si>
  <si>
    <t xml:space="preserve">Salzburg merkezden: ≤30 dk = 5 · 30–45 = 4 · 45–60 = 3 · 60–90 = 2</t>
  </si>
  <si>
    <t xml:space="preserve">Maaş / kariyer</t>
  </si>
  <si>
    <t xml:space="preserve">İlandaki yıllık brüt maaş (14 maaş). Sadece KV asgarisi yazıyorsa ceza yok (3–3,5)</t>
  </si>
  <si>
    <t xml:space="preserve">Toplam (100% olmalı)</t>
  </si>
  <si>
    <t xml:space="preserve">DİL KODLARI (ilan metninden otomatik okundu – 'Almanca şartı' sütununda alıntı var)</t>
  </si>
  <si>
    <t xml:space="preserve">Kod</t>
  </si>
  <si>
    <t xml:space="preserve">Puan (1–5)</t>
  </si>
  <si>
    <t xml:space="preserve">Anlamı</t>
  </si>
  <si>
    <t xml:space="preserve">EN</t>
  </si>
  <si>
    <t xml:space="preserve">5</t>
  </si>
  <si>
    <t xml:space="preserve">İngilizce ilan, Almanca şartı yok</t>
  </si>
  <si>
    <t xml:space="preserve">EN (+DE artı)</t>
  </si>
  <si>
    <t xml:space="preserve">İngilizce yeterli; Almanca sadece 'von Vorteil / a plus'</t>
  </si>
  <si>
    <t xml:space="preserve">EN+DE</t>
  </si>
  <si>
    <t xml:space="preserve">3,5</t>
  </si>
  <si>
    <t xml:space="preserve">İngilizce ilan, Almanca da isteniyor (seviye belirtilmemiş)</t>
  </si>
  <si>
    <t xml:space="preserve">DE+EN</t>
  </si>
  <si>
    <t xml:space="preserve">2</t>
  </si>
  <si>
    <t xml:space="preserve">Almanca ilan; Almanca seviyesi belirtilmemiş + İngilizce isteniyor</t>
  </si>
  <si>
    <t xml:space="preserve">EN+DE (akıcı DE)</t>
  </si>
  <si>
    <t xml:space="preserve">1,5</t>
  </si>
  <si>
    <t xml:space="preserve">İngilizce ilan ama akıcı/çok iyi Almanca şart</t>
  </si>
  <si>
    <t xml:space="preserve">DE</t>
  </si>
  <si>
    <t xml:space="preserve">Almanca ilan, seviye belirtilmemiş, İngilizce yok</t>
  </si>
  <si>
    <t xml:space="preserve">DE C1</t>
  </si>
  <si>
    <t xml:space="preserve">1</t>
  </si>
  <si>
    <t xml:space="preserve">'Sehr gute / fließende / ausgezeichnete Deutschkenntnisse' ya da C1 – akıcı Almanca olmadan çok zor</t>
  </si>
  <si>
    <t xml:space="preserve">Türkçe</t>
  </si>
  <si>
    <t xml:space="preserve">+1</t>
  </si>
  <si>
    <t xml:space="preserve">İlanda Türkçe geçerse +1 (bu taramada Türkçe isteyen IT ilanı çıkmadı)</t>
  </si>
  <si>
    <t xml:space="preserve">İSTATİSTİKLER (canlı formüller)</t>
  </si>
  <si>
    <t xml:space="preserve">Toplam aktif ilan (linki canlı test edildi)</t>
  </si>
  <si>
    <t xml:space="preserve">A – Hemen başvur: İngilizce yeterli + uyum ≥70%</t>
  </si>
  <si>
    <t xml:space="preserve">B – Başvur: uyum ≥70% ama Almanca gerekli / İngilizce 60–69%</t>
  </si>
  <si>
    <t xml:space="preserve">C – Opsiyonel</t>
  </si>
  <si>
    <t xml:space="preserve">Cyber Security / ISMS ilanları</t>
  </si>
  <si>
    <t xml:space="preserve">İngilizce yeterli (EN / EN +DE artı)</t>
  </si>
  <si>
    <t xml:space="preserve">İngilizce + Almanca (EN+DE / DE+EN)</t>
  </si>
  <si>
    <t xml:space="preserve">Sadece Almanca (DE / DE C1)</t>
  </si>
  <si>
    <t xml:space="preserve">Ortalama uyum</t>
  </si>
  <si>
    <t xml:space="preserve">En yüksek uyum</t>
  </si>
  <si>
    <t xml:space="preserve">Taramada bulunup profil/ulaşım nedeniyle elenen</t>
  </si>
  <si>
    <t xml:space="preserve">Önceki listeden canlı bulunan / toplam</t>
  </si>
  <si>
    <t xml:space="preserve">14 / 44</t>
  </si>
  <si>
    <t xml:space="preserve">İLK 30 İLAN – önce İngilizce yeterli olanlar, sonra uyum sırası (otomatik)</t>
  </si>
  <si>
    <t xml:space="preserve">Firma</t>
  </si>
  <si>
    <t xml:space="preserve">Sıra</t>
  </si>
  <si>
    <t xml:space="preserve">Pozisyon</t>
  </si>
  <si>
    <t xml:space="preserve">Lokasyon</t>
  </si>
  <si>
    <t xml:space="preserve">Dil</t>
  </si>
  <si>
    <t xml:space="preserve">Uyum %</t>
  </si>
  <si>
    <t xml:space="preserve">Öncelik</t>
  </si>
  <si>
    <t xml:space="preserve">İlan linki</t>
  </si>
  <si>
    <t xml:space="preserve">ÖNEMLİ NOTLAR</t>
  </si>
  <si>
    <t xml:space="preserve">1) Bu sürüm SIFIRDAN canlı taramayla üretildi (27.09.2026). karriere.at'te 50+ anahtar kelime (IT, Security, ISMS, Systemadministrator, IT-Leiter, Netzwerk, Service Manager…) × Salzburg + Mondsee/Mattighofen/Braunau; LinkedIn'de 37 anahtar kelime × Salzburg 50 km (son 30 gün); Red Bull resmi iş API'si; ACP portalı. Toplam 281 ham kayıt → 234 benzersiz → 122 profile uygun ilan.</t>
  </si>
  <si>
    <t xml:space="preserve">2) Her ilanın linki açıldı: karriere.at'te ilan sayfası + JobPosting verisi, LinkedIn'de 'No longer accepting applications' yokluğu, Red Bull'da resmi sayfa; ayrıca sayfa başlığı pozisyon adıyla eşleştirildi. Kapanmış ilanlar karriere.at'te arama sayfasına yönlendiği için otomatik elendi. 'Link kontrol' sütununda saat ve HTTP kodu var.</t>
  </si>
  <si>
    <t xml:space="preserve">3) İNGİLİZCE ÖNCELİKLİ (27.09 güncellemesi): İngilizcenin yettiği ilanlar listenin başında; dil ağırlığı %30, Almanca isteyen ilanların dil puanı düşürüldü (akıcı Almanca = 1/5). 'A – Hemen başvur' sadece İngilizce ilanlara verilir. Dil şartı, gereksinimler, eşleşen beceriler ve eksikler ilanın TAM METNİNDEN okundu (tahmin değil). Almanca şartının alıntısı 'Almanca şartı (ilandan)' sütununda.</t>
  </si>
  <si>
    <t xml:space="preserve">4) ÖNCEKİ LİSTE: 43 aktif ilanın sadece 14'ü canlı çıktı. TECHSEARCH IT-Teamleiter 2023'ten, grinnberg ilanları 2024'ten kalma; Red Bull Windows/Security Incident, Palfinger Infrastructure Ops Manager ve Wüstenrot ISM kapanmış. Ayrıntı: 'Önceki Liste Kontrolü' sayfası. Daha önce hazırlanan 6 CV'den sadece PALFINGER Cyber Security Engineer hâlâ geçerli.</t>
  </si>
  <si>
    <t xml:space="preserve">5) Maaş: Avusturya'da ilanlarda yıllık/aylık brüt yazılır (14 maaş). 'Sadece KV asgarisi' = toplu sözleşme alt sınırı; gerçek teklif genelde belirgin şekilde üstündedir (Red Bull gibi).</t>
  </si>
  <si>
    <t xml:space="preserve">6) StepStone.at bot koruması (403) ve AMS eJob-Room giriş şartı nedeniyle otomatik taranamadı; bu iki portalda aynı aramaları elle yapmak faydalı olur (İş Portalları sayfası).</t>
  </si>
  <si>
    <t xml:space="preserve">7) İlanlar hızla kapanır: başvurmadan hemen önce linke tıkla. Liste haftada bir yeniden taranmalı.</t>
  </si>
  <si>
    <t xml:space="preserve">Aktif İş İlanları – Salzburg &amp; Çevresi (IT + Cyber Security tek liste, uyuma göre sıralı) · canlı tarama 27.09.2026</t>
  </si>
  <si>
    <t xml:space="preserve">Tüm linkler açılıp test edildi · Mavi = düzenlenebilir puan (1–5) · Filtre: F (alan), G (dil), AB (öncelik)</t>
  </si>
  <si>
    <t xml:space="preserve">PUANLAR (1–5)</t>
  </si>
  <si>
    <t xml:space="preserve">No</t>
  </si>
  <si>
    <t xml:space="preserve">Salzburg'dan ulaşım</t>
  </si>
  <si>
    <t xml:space="preserve">Alan</t>
  </si>
  <si>
    <t xml:space="preserve">Çalışma dili</t>
  </si>
  <si>
    <t xml:space="preserve">Almanca şartı (ilandan alıntı)</t>
  </si>
  <si>
    <t xml:space="preserve">Kıdem</t>
  </si>
  <si>
    <t xml:space="preserve">Maaş (ilandan)</t>
  </si>
  <si>
    <t xml:space="preserve">Yayın / güncelleme tarihi</t>
  </si>
  <si>
    <t xml:space="preserve">Kaynak</t>
  </si>
  <si>
    <t xml:space="preserve">İLAN LİNKİ (canlı test ✓)</t>
  </si>
  <si>
    <t xml:space="preserve">Link kontrol</t>
  </si>
  <si>
    <t xml:space="preserve">Yedek link(ler) (aynı ilan, test ✓)</t>
  </si>
  <si>
    <t xml:space="preserve">Temel gereksinimler (ilandan)</t>
  </si>
  <si>
    <t xml:space="preserve">CV ile eşleşenler</t>
  </si>
  <si>
    <t xml:space="preserve">Eksikler / riskler</t>
  </si>
  <si>
    <t xml:space="preserve">Teknik</t>
  </si>
  <si>
    <t xml:space="preserve">Sektör</t>
  </si>
  <si>
    <t xml:space="preserve">Maaş</t>
  </si>
  <si>
    <t xml:space="preserve">Önerilen aksiyon</t>
  </si>
  <si>
    <t xml:space="preserve">Firmanın tüm açık ilanları</t>
  </si>
  <si>
    <t xml:space="preserve">Sıralama skoru (İngilizce önce)</t>
  </si>
  <si>
    <t xml:space="preserve">Red Bull</t>
  </si>
  <si>
    <t xml:space="preserve">IT Sales Applications Project Manager</t>
  </si>
  <si>
    <t xml:space="preserve">Elsbethen</t>
  </si>
  <si>
    <t xml:space="preserve">≤30 dk (Salzburg / yakın çevre)</t>
  </si>
  <si>
    <t xml:space="preserve">IT proje yönetimi</t>
  </si>
  <si>
    <t xml:space="preserve">PMP or PRINCE2) is considered an advantage Fluent English skills, German is a plus At least five years of experience in delivering IT projects</t>
  </si>
  <si>
    <t xml:space="preserve">—</t>
  </si>
  <si>
    <t xml:space="preserve">Kıdemli / yönetici</t>
  </si>
  <si>
    <t xml:space="preserve">Sadece KV asgarisi: ~€33k/yıl (ab 2.362 € monatlich) – gerçek maaş belirtilmemiş, genelde üstünde</t>
  </si>
  <si>
    <t xml:space="preserve">2026-09-27</t>
  </si>
  <si>
    <t xml:space="preserve">Red Bull resmi</t>
  </si>
  <si>
    <t xml:space="preserve">https://jobs.redbull.com/at-de/it-sales-applications-project-manager-ref33553h</t>
  </si>
  <si>
    <t xml:space="preserve">27.09.2026 14:14 · HTTP 200 · AÇIK</t>
  </si>
  <si>
    <t xml:space="preserve">https://www.karriere.at/jobs/7867234</t>
  </si>
  <si>
    <t xml:space="preserve">Vollzeit IT Sales Applications Project Manager Elsbethen, Österreich Apply now As part of our Sales Applications Team, this role involves shaping the future of our business application landscape. By leading strategic IT initiatives across Sales, Finance, and eCommerce, you'll drive digital transformation, enable business growth, and deliver solutions that create value on a global scale. As an IT Sales Applications Pr…</t>
  </si>
  <si>
    <t xml:space="preserve">ITIL / ITSM, Proje yönetimi, Bütçe, Risk yönetimi, Politika / uyum</t>
  </si>
  <si>
    <t xml:space="preserve">SAP, İş uygulaması alanı (CRM/ERP/Legal/ServiceNow…)</t>
  </si>
  <si>
    <t xml:space="preserve">İngilizce CV + ön yazı ile başvur</t>
  </si>
  <si>
    <t xml:space="preserve">https://www.karriere.at/f/red-bull</t>
  </si>
  <si>
    <t xml:space="preserve">SKIDATA GmbH</t>
  </si>
  <si>
    <t xml:space="preserve">Senior Project Manager - Delivery Execution &amp; Multi-Team Governance (m/f/d)</t>
  </si>
  <si>
    <t xml:space="preserve">Wals</t>
  </si>
  <si>
    <t xml:space="preserve">Almanca şartı belirtilmemiş</t>
  </si>
  <si>
    <t xml:space="preserve">İlanda belirtilmemiş</t>
  </si>
  <si>
    <t xml:space="preserve">2026-09-20</t>
  </si>
  <si>
    <t xml:space="preserve">karriere.at</t>
  </si>
  <si>
    <t xml:space="preserve">https://www.karriere.at/jobs/7854275</t>
  </si>
  <si>
    <t xml:space="preserve">https://www.linkedin.com/jobs/view/4446017342</t>
  </si>
  <si>
    <t xml:space="preserve">10+ years of project or program management experience. Proven track record in large-scale software, cloud, or product delivery programs. Strong experience in delivery governance, execution control, and stakeholder management. Demonstrated ability to coordinate multiple development teams and complex dependencies. Excellent communication and executive reporting skills. Experience working in Agile, Waterfall, or hybrid…</t>
  </si>
  <si>
    <t xml:space="preserve">Ekip liderliği, Risk yönetimi, Politika / uyum</t>
  </si>
  <si>
    <t xml:space="preserve">10+ yıl büyük yazılım/ürün teslimat programı yönetimi şartı</t>
  </si>
  <si>
    <t xml:space="preserve">https://www.karriere.at/f/skidata</t>
  </si>
  <si>
    <t xml:space="preserve">IT Project Manager - Legal Solutions</t>
  </si>
  <si>
    <t xml:space="preserve">language skills are an advantage At least three years of experience m</t>
  </si>
  <si>
    <t xml:space="preserve">2026-09-21</t>
  </si>
  <si>
    <t xml:space="preserve">https://jobs.redbull.com/at-de/it-project-manager-legal-solutions-ref33927j</t>
  </si>
  <si>
    <t xml:space="preserve">27.09.2026 14:13 · HTTP 200 · AÇIK</t>
  </si>
  <si>
    <t xml:space="preserve">https://www.karriere.at/jobs/7875472
https://www.linkedin.com/jobs/view/4466092730
https://www.linkedin.com/jobs/view/4472017663</t>
  </si>
  <si>
    <t xml:space="preserve">Vollzeit IT Project Manager - Legal Solutions Elsbethen, Österreich Apply now Are you ready to turn complex challenges into smart, scalable solutions and make things happen? As a technically savvy Project Manager with an analytical mindset and a passion for holistic business solutions, you'll advance the digitalisation of the Legal business domain. Join our Cross Functional &amp; Legal Projects team (sitting in Elsbethen…</t>
  </si>
  <si>
    <t xml:space="preserve">ITIL / ITSM, Proje yönetimi, Tedarikçi yönetimi, Bütçe, Ekip liderliği, Risk yönetimi, Politika / uyum</t>
  </si>
  <si>
    <t xml:space="preserve">ANA ŞART: İş uygulaması alanı (CRM/ERP/Legal/ServiceNow…), ANA ŞART: AI / ML</t>
  </si>
  <si>
    <t xml:space="preserve">Project Manager (Portfolio Management)</t>
  </si>
  <si>
    <t xml:space="preserve">2026-09-26</t>
  </si>
  <si>
    <t xml:space="preserve">https://jobs.redbull.com/at-de/project-manager-portfolio-management-ref34093e</t>
  </si>
  <si>
    <t xml:space="preserve">https://www.karriere.at/jobs/7878376
https://www.linkedin.com/jobs/view/4468809516</t>
  </si>
  <si>
    <t xml:space="preserve">Vollzeit Project Manager (Portfolio Management) Elsbethen, Österreich Apply now We are seeking an experienced and proactive Project Manager to lead strategic initiatives within the Supply Chain domain, operating as part of the Portfolio Management function in the CFO organization. In this pivotal role, you will be involved across the end-to-end supply chain operations and help to shape the evolution of our global sup…</t>
  </si>
  <si>
    <t xml:space="preserve">ITIL / ITSM, Proje yönetimi, Bütçe, Ekip liderliği, Risk yönetimi, Microsoft ortamı</t>
  </si>
  <si>
    <t xml:space="preserve">DİKKAT: IT rolü değil – Supply Chain / CFO portföy PMO (Red Bull'da 'Finance' fonksiyonu); supply chain alan bilgisi</t>
  </si>
  <si>
    <t xml:space="preserve">Application Security Service Manager</t>
  </si>
  <si>
    <t xml:space="preserve">Cyber Security – yönetişim / ISMS</t>
  </si>
  <si>
    <t xml:space="preserve">Informatics, or equivalent experience Fluent English skills, German is a plus At least three years of experience in application security,</t>
  </si>
  <si>
    <t xml:space="preserve">Sadece KV asgarisi: ~€35k/yıl (ab 2.535 € monatlich) – gerçek maaş belirtilmemiş, genelde üstünde</t>
  </si>
  <si>
    <t xml:space="preserve">https://jobs.redbull.com/at-de/application-security-service-manager-ref33475n</t>
  </si>
  <si>
    <t xml:space="preserve">https://www.karriere.at/jobs/7865764
https://www.linkedin.com/jobs/view/4459310475</t>
  </si>
  <si>
    <t xml:space="preserve">Vollzeit Application Security Service Manager Elsbethen, Österreich Apply now Are you ready to help shape the future of secure software development at Red Bull? As part of our Digital Security team, you will play a key role in safeguarding custom software development and advancing our application security capabilities. Partnering closely with security peers, engineering, development, and product teams, you will drive…</t>
  </si>
  <si>
    <t xml:space="preserve">Tedarikçi yönetimi, Bütçe, Ekip liderliği, Politika / uyum</t>
  </si>
  <si>
    <t xml:space="preserve">ANA ŞART: Programlama, ANA ŞART: Pentest, ANA ŞART: Application security / secure SDLC, AI / ML</t>
  </si>
  <si>
    <t xml:space="preserve">IT Team Manager - Global Field Sales Applications</t>
  </si>
  <si>
    <t xml:space="preserve">IT yönetimi / liderlik</t>
  </si>
  <si>
    <t xml:space="preserve">study or equivalent practical experience Fluent English skills, German is a plus At least 5 years of working experience with field sales app</t>
  </si>
  <si>
    <t xml:space="preserve">Sadece KV asgarisi: ~€40k/yıl (ab 2.879 € monatlich) – gerçek maaş belirtilmemiş, genelde üstünde</t>
  </si>
  <si>
    <t xml:space="preserve">https://jobs.redbull.com/at-de/elsbethen-it-manager-global-field-sales-applications-ref31287p</t>
  </si>
  <si>
    <t xml:space="preserve">https://www.karriere.at/jobs/7879372</t>
  </si>
  <si>
    <t xml:space="preserve">Vollzeit IT Team Manager - Global Field Sales Applications Elsbethen, Österreich Apply now To support our ambitious sales roadmap, we are looking for an IT Manager Global Field Sales Applications, who will drive the global IT field sales tool strategy with a bold, future‑focused agenda. In this role you'll sit in IT and at the frontline of Sales, turning ambitious commercial goals into a powerful, AI‑enabled applicat…</t>
  </si>
  <si>
    <t xml:space="preserve">Proje yönetimi, Ekip liderliği, Politika / uyum, Perakende / çok lokasyon</t>
  </si>
  <si>
    <t xml:space="preserve">Scripting / otomasyon (PowerShell vb.), ANA ŞART: İş uygulaması alanı (CRM/ERP/Legal/ServiceNow…), ANA ŞART: AI / ML</t>
  </si>
  <si>
    <t xml:space="preserve">TransUnion</t>
  </si>
  <si>
    <t xml:space="preserve">Technical Project Manager</t>
  </si>
  <si>
    <t xml:space="preserve">Salzburg, Salzburg, Austria</t>
  </si>
  <si>
    <t xml:space="preserve">2026-09-25</t>
  </si>
  <si>
    <t xml:space="preserve">LinkedIn</t>
  </si>
  <si>
    <t xml:space="preserve">https://www.linkedin.com/jobs/view/4470334048</t>
  </si>
  <si>
    <t xml:space="preserve">TransUnion's Job Applicant Privacy Notice Team Overview Our team designs and develops solutions that strengthen secure, reliable communication across telecommunication networks. Our platforms are integrated into the ecosystem and technical infrastructure of mobile operators across Europe where our services process and analyze voice calls and messages to improve security and customer engagement for millions of end con…</t>
  </si>
  <si>
    <t xml:space="preserve">Ağ / Firewall / VPN, Proje yönetimi</t>
  </si>
  <si>
    <t xml:space="preserve">Programlama, ANA ŞART: AWS / GCP</t>
  </si>
  <si>
    <t xml:space="preserve">https://www.linkedin.com/company/transunion</t>
  </si>
  <si>
    <t xml:space="preserve">IT Project / Application Manager - Production Application</t>
  </si>
  <si>
    <t xml:space="preserve">English skills, German is a plus Sound knowledge of business processes in the field of produ</t>
  </si>
  <si>
    <t xml:space="preserve">Sadece KV asgarisi: ~€35k/yıl (ab 2.471 € monatlich) – gerçek maaş belirtilmemiş, genelde üstünde</t>
  </si>
  <si>
    <t xml:space="preserve">https://jobs.redbull.com/at-de/elsbethen-it-project-application-manager-production-application--ref26935q</t>
  </si>
  <si>
    <t xml:space="preserve">https://www.karriere.at/jobs/7709477
https://www.linkedin.com/jobs/view/4342957903</t>
  </si>
  <si>
    <t xml:space="preserve">Vollzeit IT Project / Application Manager - Production Application Elsbethen, Österreich Apply now Are you ready to make an impact where innovation meets operations? If you thrive in fast-paced environments, if you have a passion for optimizing systems, and you are ready to take ownership of transformative initiatives, we want you on our team to help us set new standards in SAP excellence! As an IT Project / Applicat…</t>
  </si>
  <si>
    <t xml:space="preserve">Proje yönetimi, Tedarikçi yönetimi, Bütçe</t>
  </si>
  <si>
    <t xml:space="preserve">ANA ŞART: SAP, ANA ŞART: İş uygulaması alanı (CRM/ERP/Legal/ServiceNow…)</t>
  </si>
  <si>
    <t xml:space="preserve">Amer Sports</t>
  </si>
  <si>
    <t xml:space="preserve">OT-Security Domain Manager(m/f/d)</t>
  </si>
  <si>
    <t xml:space="preserve">Altenmarkt im Pongau, Salzburg, Austria</t>
  </si>
  <si>
    <t xml:space="preserve">60–90 dk</t>
  </si>
  <si>
    <t xml:space="preserve">https://www.linkedin.com/jobs/view/4438189985</t>
  </si>
  <si>
    <t xml:space="preserve">Hybrid / Altenmarkt im Pongau, Austria We’re looking for OT Security Domain Manager for Amer Sports ’ office in Altenmarkt im Pongau At Amer Sports, we are looking for an OT Security Domain Manager to lead and drive Operational Technology (OT) security across our global supply chain network. In this strategic role you will help safeguard manufacturing sites and distribution centers by embedding security into operatio…</t>
  </si>
  <si>
    <t xml:space="preserve">ISO 27001 / ISMS, ITIL / ITSM, Ağ / Firewall / VPN, Tedarikçi yönetimi, Ekip liderliği, Risk yönetimi, Politika / uyum, Denetim / audit</t>
  </si>
  <si>
    <t xml:space="preserve">Scripting / otomasyon (PowerShell vb.), SIEM / SOC / EDR, NIS-2 / DORA / TISAX, CISSP / CISM / CISA, ANA ŞART: OT / SCADA güvenliği</t>
  </si>
  <si>
    <t xml:space="preserve">İngilizce CV + ön yazı ile başvur · İletişim: talentacquisition@amersports.com</t>
  </si>
  <si>
    <t xml:space="preserve">https://fi.linkedin.com/company/amer-sports</t>
  </si>
  <si>
    <t xml:space="preserve">epunkt GmbH</t>
  </si>
  <si>
    <t xml:space="preserve">IT Allrounder (w/m/x)</t>
  </si>
  <si>
    <t xml:space="preserve">Bezirk Vöcklabruck</t>
  </si>
  <si>
    <t xml:space="preserve">IT destek / service desk</t>
  </si>
  <si>
    <t xml:space="preserve">gutes Englisch (Unternehmenssprache),Deutsch ist ein Plus, aber nicht zwingend erforderlich</t>
  </si>
  <si>
    <t xml:space="preserve">Orta / giriş – aday overqualified</t>
  </si>
  <si>
    <t xml:space="preserve">~€50k+/yıl (ilan: 3.600 € – 4.400 € monatlich)</t>
  </si>
  <si>
    <t xml:space="preserve">2026-09-24</t>
  </si>
  <si>
    <t xml:space="preserve">https://www.karriere.at/jobs/7869100</t>
  </si>
  <si>
    <t xml:space="preserve">https://www.karriere.at/jobs/7881199</t>
  </si>
  <si>
    <t xml:space="preserve">&amp; Erfahrung zwischen 3.600 EUR und 4.400 EUR brutto / Monat (auf Vollzeitbasis). Brutto Netto Rechner Das Unternehmen Ein international tätiges Technologieunternehmen entwickelt ein patentiertes, wissenschaftlich validiertes Fit-System und arbeitet mit führenden Marken zusammen, um Sport- und Performance-Equipment durch präzise Passform und bessere Kraftübertragung zu optimieren. Das Unternehmen ist global aufgestell…</t>
  </si>
  <si>
    <t xml:space="preserve">ITIL / ITSM, Windows Server, Sanallaştırma (Hyper-V/Proxmox), Backup / DR, Ağ / Firewall / VPN, Ekip liderliği, Politika / uyum, Perakende / çok lokasyon</t>
  </si>
  <si>
    <t xml:space="preserve">Belirgin teknik eksik yok</t>
  </si>
  <si>
    <t xml:space="preserve">İngilizce CV + ön yazı ile başvur · Personel danışmanı ilanı → danışmanı telefon/e-posta ile ara, diğer açık pozisyonlarını da sor</t>
  </si>
  <si>
    <t xml:space="preserve">https://www.karriere.at/f/epunkt-linz</t>
  </si>
  <si>
    <t xml:space="preserve">Senior Systems Administrator</t>
  </si>
  <si>
    <t xml:space="preserve">Sistem / altyapı</t>
  </si>
  <si>
    <t xml:space="preserve">2026-09-16</t>
  </si>
  <si>
    <t xml:space="preserve">https://www.linkedin.com/jobs/view/4430598895</t>
  </si>
  <si>
    <t xml:space="preserve">ITIL / ITSM, Sanallaştırma (Hyper-V/Proxmox), Backup / DR, Ağ / Firewall / VPN, SQL Server / DB, Proje yönetimi, Politika / uyum</t>
  </si>
  <si>
    <t xml:space="preserve">ANA ŞART: Scripting / otomasyon (PowerShell vb.), ANA ŞART: Linux, Container / IaC / DevOps, AWS / GCP</t>
  </si>
  <si>
    <t xml:space="preserve">IT Infrastructure Engineer</t>
  </si>
  <si>
    <t xml:space="preserve">Thalgau</t>
  </si>
  <si>
    <t xml:space="preserve">30–45 dk</t>
  </si>
  <si>
    <t xml:space="preserve">oder gleichwertige Berufserfahrung Fließende Englischkenntnisse, Deutschkenntnisse sind von Vorteil Mindestens fünf Jahre Berufserfahrung in d</t>
  </si>
  <si>
    <t xml:space="preserve">Uzman (mid-senior)</t>
  </si>
  <si>
    <t xml:space="preserve">https://jobs.redbull.com/at-de/it-infrastructure-data-platform-engineer-ref33287a</t>
  </si>
  <si>
    <t xml:space="preserve">https://www.karriere.at/jobs/7861804
https://www.linkedin.com/jobs/view/4455736906
https://www.linkedin.com/jobs/view/4455733965</t>
  </si>
  <si>
    <t xml:space="preserve">Vollzeit IT Infrastructure Engineer Thalgau, Österreich Bewerben Bist du bereit, Technologien mitzugestalten, die Höchstleistungen im Sport ermöglichen? Als IT Infrastructure Engineer spielst du eine zentrale Rolle innerhalb der Corporate Projects IT und unterstützt das Athlete Performance Center (APC) sowie dessen Plattformen, Anwendungen, Infrastruktur und spezialisierte Sporttechnologien. Mit deiner Arbeit schaffs…</t>
  </si>
  <si>
    <t xml:space="preserve">ITIL / ITSM, Ağ / Firewall / VPN, Tedarikçi yönetimi, Politika / uyum, Microsoft ortamı</t>
  </si>
  <si>
    <t xml:space="preserve">Azure / Entra ID, ANA ŞART: Scripting / otomasyon (PowerShell vb.), Programlama, AWS / GCP</t>
  </si>
  <si>
    <t xml:space="preserve">IT Project Manager - Sales Applications</t>
  </si>
  <si>
    <t xml:space="preserve">or equivalent practical experience Fluent English skills, German is a plus At least 4 years of experience in the IT environment with a</t>
  </si>
  <si>
    <t xml:space="preserve">https://jobs.redbull.com/at-de/elsbethen-it-project-manager-sales-applications--ref31123e</t>
  </si>
  <si>
    <t xml:space="preserve">https://www.karriere.at/jobs/7871212</t>
  </si>
  <si>
    <t xml:space="preserve">Vollzeit IT Project Manager - Sales Applications Elsbethen, Österreich Apply now To support our ambitious sales roadmap with exciting IT sales projects and new initiatives, we are expanding our Global IT Sales Projects team and are looking for a driven IT Project Manager in the area of sales applications. In this role, you will equip our global sales teams with the tools and "wings" they need to sell smarter, faster,…</t>
  </si>
  <si>
    <t xml:space="preserve">Proje yönetimi, Tedarikçi yönetimi, Bütçe, Risk yönetimi</t>
  </si>
  <si>
    <t xml:space="preserve">Azure / Entra ID, Scripting / otomasyon (PowerShell vb.), SAP, AWS / GCP, ANA ŞART: İş uygulaması alanı (CRM/ERP/Legal/ServiceNow…), ANA ŞART: AI / ML</t>
  </si>
  <si>
    <t xml:space="preserve">PALFINGER</t>
  </si>
  <si>
    <t xml:space="preserve">Cyber Security Engineer (f/m/d)</t>
  </si>
  <si>
    <t xml:space="preserve">Bergheim, Salzburg, Austria</t>
  </si>
  <si>
    <t xml:space="preserve">Cyber Security – teknik</t>
  </si>
  <si>
    <t xml:space="preserve">~€53k+/yıl (ilan metninden)</t>
  </si>
  <si>
    <t xml:space="preserve">2026-09-01</t>
  </si>
  <si>
    <t xml:space="preserve">https://www.linkedin.com/jobs/view/4461705351</t>
  </si>
  <si>
    <t xml:space="preserve">At PALFINGER, we have been lifting goods to a new level for over 90 years - with a pioneering and passionate spirit. As a global technology and engineering company, we are the world's leading manufacturer and supplier of innovative crane and lifting solutions. Our success is based on the tireless efforts of our approximately 12,350 employees, who contribute their ideas and energy to our vision. With us, you can expec…</t>
  </si>
  <si>
    <t xml:space="preserve">ITIL / ITSM, Active Directory, Ağ / Firewall / VPN, Tedarikçi yönetimi, Politika / uyum, Denetim / audit, Microsoft ortamı</t>
  </si>
  <si>
    <t xml:space="preserve">ANA ŞART: Azure / Entra ID, Intune / M365 admin, Scripting / otomasyon (PowerShell vb.), SIEM / SOC / EDR, Ağ üreticisi sertifikası (Cisco/Fortinet/Palo Alto), CISSP / CISM / CISA</t>
  </si>
  <si>
    <t xml:space="preserve">https://at.linkedin.com/company/palfinger</t>
  </si>
  <si>
    <t xml:space="preserve">Aptean</t>
  </si>
  <si>
    <t xml:space="preserve">ERP Customer Support Consultant</t>
  </si>
  <si>
    <t xml:space="preserve">Salzburg, Austria</t>
  </si>
  <si>
    <t xml:space="preserve">Sadece KV asgarisi: ~€36k/yıl (ilan metni) – gerçek maaş belirtilmemiş, genelde üstünde</t>
  </si>
  <si>
    <t xml:space="preserve">2026-09-22</t>
  </si>
  <si>
    <t xml:space="preserve">https://www.linkedin.com/jobs/view/4459659551</t>
  </si>
  <si>
    <t xml:space="preserve">Customer Support Consultant (m/w/d) mit Fokus auf Rechnungswesen Bergheim bei Salzburg | Hybrid Was die Menschen bei Aptean eint, ist ihr Engagement, Kundenprozesse zu vereinfachen und Erwartungen zu übertreffen. Unsere gemeinsame Vision ist die Entwicklung modernster ERP-Softwarelösungen für Mittel- und Großbetriebe. Wir wachsen überdurchschnittlich und suchen DICH zur Verstärkung unseres Customer Service Teams. Du…</t>
  </si>
  <si>
    <t xml:space="preserve">SQL Server / DB, Tedarikçi yönetimi, Politika / uyum</t>
  </si>
  <si>
    <t xml:space="preserve">Programlama, ANA ŞART: İş uygulaması alanı (CRM/ERP/Legal/ServiceNow…), ANA ŞART: AI / ML</t>
  </si>
  <si>
    <t xml:space="preserve">https://www.linkedin.com/company/aptean</t>
  </si>
  <si>
    <t xml:space="preserve">SKIDATA</t>
  </si>
  <si>
    <t xml:space="preserve">Product Security Engineer (mfd)</t>
  </si>
  <si>
    <t xml:space="preserve">Wals-Siezenheim, Salzburg, Austria</t>
  </si>
  <si>
    <t xml:space="preserve">2026-09-19</t>
  </si>
  <si>
    <t xml:space="preserve">https://www.linkedin.com/jobs/view/4440762411</t>
  </si>
  <si>
    <t xml:space="preserve">Strong experience with secure coding practices and code analysis tools Solid threat modeling expertise and hands-on penetration testing experience Sound knowledge of OWASP principles and IT security standards (ISO 27001, NIST Cybersecurity, PCI DSS, or similar) Familiarity with DevOps practices and tools Proficiency in programming languages such as Java, C#, or .NET Experience with cloud services, Docker, and microse…</t>
  </si>
  <si>
    <t xml:space="preserve">ISO 27001 / ISMS</t>
  </si>
  <si>
    <t xml:space="preserve">Container / IaC / DevOps, ANA ŞART: Programlama, Pentest, ANA ŞART: Application security / secure SDLC</t>
  </si>
  <si>
    <t xml:space="preserve">https://at.linkedin.com/company/skidata-ag</t>
  </si>
  <si>
    <t xml:space="preserve">Rehrl+Partner Personalberatung GmbH</t>
  </si>
  <si>
    <t xml:space="preserve">Leitung IT-Infrastruktur (m/w/d)</t>
  </si>
  <si>
    <t xml:space="preserve">İlan Almanca; seviye belirtilmemiş</t>
  </si>
  <si>
    <t xml:space="preserve">~€100k+/yıl (ilan metninden)</t>
  </si>
  <si>
    <t xml:space="preserve">https://www.linkedin.com/jobs/view/4462230078</t>
  </si>
  <si>
    <t xml:space="preserve">Abgeschlossene Ausbildung im Bereich IT, IT-Management oder Informatik Mehrjährige Berufserfahrung in der IT-Infrastruktur sowie umfangreiche Führungserfahrung Idealerweise Erfahrung in der produzierenden Industrie mit internationalen Standorten Fundierte Kenntnisse in der Koordination komplexer operativer IT-Einheiten sowie Dienstleister Sicherer Umgang mit Budget- und Vertragsangelegenheiten, hohes Kennzahlenbewuss…</t>
  </si>
  <si>
    <t xml:space="preserve">Ağ / Firewall / VPN, Tedarikçi yönetimi, Bütçe, Ekip liderliği, Perakende / çok lokasyon</t>
  </si>
  <si>
    <t xml:space="preserve">Almanca CV + Anschreiben ile başvur (Almanca B1/B2 belirt) · Personel danışmanı ilanı → danışmanı telefon/e-posta ile ara, diğer açık pozisyonlarını da sor</t>
  </si>
  <si>
    <t xml:space="preserve">https://at.linkedin.com/company/rehrl-partner-personalberatung-gmbh</t>
  </si>
  <si>
    <t xml:space="preserve">KERN engineering careers GmbH</t>
  </si>
  <si>
    <t xml:space="preserve">Information Security Consultant (w/m/d)</t>
  </si>
  <si>
    <t xml:space="preserve">Graz, Klagenfurt, Salzburg, Wels, Wien</t>
  </si>
  <si>
    <t xml:space="preserve">und die Fähigkeit, komplexe Sachverhalte verständlich in Deutsch &amp; Englisch zu vermitteln Sicheres Auftreten im Kundenkontakt sowie Fr</t>
  </si>
  <si>
    <t xml:space="preserve">~€70k+/yıl (ilan: 5.000 € – 6.000 € monatlich)</t>
  </si>
  <si>
    <t xml:space="preserve">https://www.karriere.at/jobs/7829969</t>
  </si>
  <si>
    <t xml:space="preserve">wie ISO 2700x und NIS2 ; Zertifizierungen von Vorteil Ausgeprägte Kommunikationsstärke und die Fähigkeit, komplexe Sachverhalte verständlich in Deutsch &amp; Englisch zu vermitteln Sicheres Auftreten im Kundenkontakt sowie Freude an der Arbeit in einem beratenden Umfeld Worauf man sich freuen kann Eine verantwortungsvolle Position mit großem Gestaltungsspielraum in einem wachsenden Marktsegment Flexible Arbeitszeiten sow…</t>
  </si>
  <si>
    <t xml:space="preserve">ITIL / ITSM, Ekip liderliği, Denetim / audit</t>
  </si>
  <si>
    <t xml:space="preserve">NIS-2 / DORA / TISAX</t>
  </si>
  <si>
    <t xml:space="preserve">Almanca CV ile başvur; İngilizce yeterliliğini ve Almanca B1/B2'yi açıkça yaz · Personel danışmanı ilanı → danışmanı telefon/e-posta ile ara, diğer açık pozisyonlarını da sor · İletişim: j.wagner@kern-partner.at</t>
  </si>
  <si>
    <t xml:space="preserve">https://www.karriere.at/f/kern-engineering-careers</t>
  </si>
  <si>
    <t xml:space="preserve">Salzburger Abfallbeseitigung GmbH</t>
  </si>
  <si>
    <t xml:space="preserve">Koordinator für Informationssicherheit und Managementsysteme (m/w/d)</t>
  </si>
  <si>
    <t xml:space="preserve">Salzburg (Stadt)</t>
  </si>
  <si>
    <t xml:space="preserve">~€60k+/yıl (ilan: ab 4.320 € monatlich)</t>
  </si>
  <si>
    <t xml:space="preserve">https://www.karriere.at/jobs/10033426</t>
  </si>
  <si>
    <t xml:space="preserve">Eine abgeschlossene Ausbildung mit IT-Schwerpunkt, etwa HTL, FH, Universität oder IT-Lehre mit entsprechender Berufserfahrung. Praktische Erfahrung mit IT-Systemen, Netzwerken und grundlegenden Sicherheitsmaßnahmen. Idealerweise eine abgeschlossene Zusatzausbildung im Qualitätsmanagement, in der internen Auditierung oder in integrierten Managementsystemen (z. B. TÜV AUSTRIA, TÜV SÜD oder einem vergleichbaren Anbieter…</t>
  </si>
  <si>
    <t xml:space="preserve">Backup / DR, Ağ / Firewall / VPN, Tedarikçi yönetimi, Ekip liderliği, Risk yönetimi, Politika / uyum, Denetim / audit, Perakende / çok lokasyon</t>
  </si>
  <si>
    <t xml:space="preserve">Almanca CV + Anschreiben ile başvur (Almanca B1/B2 belirt)</t>
  </si>
  <si>
    <t xml:space="preserve">https://www.karriere.at/f/salzburger-abfallbeseitigung</t>
  </si>
  <si>
    <t xml:space="preserve">Xenium AG</t>
  </si>
  <si>
    <t xml:space="preserve">Lead IT Consultant Digitalisierung &amp; Projektleitung (m/w/d)</t>
  </si>
  <si>
    <t xml:space="preserve">kommunizierst sicher auf Deutsch und Englisch und bist etwa 1–2 Tage pro Woche beim Kunden vor Ort Dei</t>
  </si>
  <si>
    <t xml:space="preserve">~€83k+/yıl (ilan metninden)</t>
  </si>
  <si>
    <t xml:space="preserve">2026-09-07</t>
  </si>
  <si>
    <t xml:space="preserve">https://www.linkedin.com/jobs/view/4461881030</t>
  </si>
  <si>
    <t xml:space="preserve">Du hast ein Studium im MINT- oder wirtschaftsnahen Bereich mit IT-Bezug erfolgreich abgeschlossen Du bringst Erfahrung im IT-Consulting sowie in der Führung von Projekten oder Teams mit Du überzeugst durch Empathie, Souveränität und klare Kommunikation Du denkst analytisch, arbeitest konzeptionell und treibst Digitalisierungsthemen mit Begeisterung voran Du denkst analytisch­ und konzeptionell­ und bist klar und präz…</t>
  </si>
  <si>
    <t xml:space="preserve">Proje yönetimi, Ekip liderliği</t>
  </si>
  <si>
    <t xml:space="preserve">Almanca CV ile başvur; İngilizce yeterliliğini ve Almanca B1/B2'yi açıkça yaz</t>
  </si>
  <si>
    <t xml:space="preserve">https://de.linkedin.com/company/xenium-ag</t>
  </si>
  <si>
    <t xml:space="preserve">x-tention Informationstechnologie GmbH</t>
  </si>
  <si>
    <t xml:space="preserve">Senior Cyber Security Consultant &amp; Project Manager (m/w/d)</t>
  </si>
  <si>
    <t xml:space="preserve">Klagenfurt am Wörthersee, Wien, St. Peter in der Au, Graz, Wels, Salzburg (Stadt)</t>
  </si>
  <si>
    <t xml:space="preserve">&amp; private Vergaben) von Vorteil Stark in Präsentation &amp; Moderation (Deutsch und Englisch) Zertifizierungen wie CISSP, CISM, ITIL sowie Projektman</t>
  </si>
  <si>
    <t xml:space="preserve">~€65k+/yıl (ilan: 4.610 € – 5.715 € monatlich)</t>
  </si>
  <si>
    <t xml:space="preserve">https://www.karriere.at/jobs/10033472</t>
  </si>
  <si>
    <t xml:space="preserve">Mehrjährige Erfahrung im Cybersecurity-Consulting und/oder Projektmanagement Fundiertes Know-how im SIEM/SOC-Umfeld, Use-Cases, Runbooks &amp; KPI/SLAs Erfahrung in Ausschreibungsbearbeitung (öffentliche &amp; private Vergaben) von Vorteil Stark in Präsentation &amp; Moderation (Deutsch und Englisch) Zertifizierungen wie CISSP, CISM, ITIL sowie Projektmanagement-Standards wie IPMA oder PRINCE2/PMP von Vorteil Strukturierte, lösu…</t>
  </si>
  <si>
    <t xml:space="preserve">ITIL / ITSM, Proje yönetimi, Bütçe, Ekip liderliği, Risk yönetimi, Perakende / çok lokasyon</t>
  </si>
  <si>
    <t xml:space="preserve">ANA ŞART: SIEM / SOC / EDR, CISSP / CISM / CISA</t>
  </si>
  <si>
    <t xml:space="preserve">https://www.karriere.at/f/x-tention-informationstechnologie</t>
  </si>
  <si>
    <t xml:space="preserve">Soulkitchen Group</t>
  </si>
  <si>
    <t xml:space="preserve">IT-Manager (m/w/d)</t>
  </si>
  <si>
    <t xml:space="preserve">an unseren Standorten in Österreich und Deutschland Sehr gute Deutsch- und Englischkenntnisse Führerschein Klasse B WIR GARANTIEREN DIR Ein</t>
  </si>
  <si>
    <t xml:space="preserve">~€56k+/yıl (ilan metninden)</t>
  </si>
  <si>
    <t xml:space="preserve">https://www.linkedin.com/jobs/view/4469750644</t>
  </si>
  <si>
    <t xml:space="preserve">über die Umsetzung bis hin zum laufenden Betrieb. Bei Neu-, Um- und Ausbauprojekten begleitest du den gesamten IT-Prozess von der Planung bis zur Inbetriebnahme. Du konzipierst Netzwerk, WLAN, Verkabelung und Netzwerkschränke, definierst die benötigte IT- und Store-Ausstattung, koordinierst externe Partner und Gewerke und stellst eine professionelle technische Abnahme sowie eine reibungslose Übergabe in den laufenden…</t>
  </si>
  <si>
    <t xml:space="preserve">Ağ / Firewall / VPN, Tedarikçi yönetimi, Ekip liderliği, Microsoft ortamı, Perakende / çok lokasyon</t>
  </si>
  <si>
    <t xml:space="preserve">Almanca C1 / çok iyi Almanca</t>
  </si>
  <si>
    <t xml:space="preserve">Almanca C1 isteniyor – yine de başvurmak istersen Almanca CV + dil planı (kurs/sertifika) belirt · İletişim: bewerbung@soulkitchen.world</t>
  </si>
  <si>
    <t xml:space="preserve">https://at.linkedin.com/company/soulkitchen-group</t>
  </si>
  <si>
    <t xml:space="preserve">HR Consulting Ines Schöffmann GmbH</t>
  </si>
  <si>
    <t xml:space="preserve">IT-Sicherheitsarchitekt:in</t>
  </si>
  <si>
    <t xml:space="preserve">Zell Am See, Salzburg, Austria</t>
  </si>
  <si>
    <t xml:space="preserve">Breites Wissen im Bereich IT Security Projektleitungserfahrung Deutsch und Englisch Das Angebot Eine sichere Festanstellung in einem wirtsch</t>
  </si>
  <si>
    <t xml:space="preserve">~€65k+/yıl (ilan metninden)</t>
  </si>
  <si>
    <t xml:space="preserve">2026-09-23</t>
  </si>
  <si>
    <t xml:space="preserve">https://www.linkedin.com/jobs/view/4470695814</t>
  </si>
  <si>
    <t xml:space="preserve">und triffst Technologientscheidungen planst und leitest Projekte Dazu kommen Dienstleister- und Schnittstellenmanagement, Dokumentation, Projektmitarbeit, etc. Dein Background Fundierter IT Hintergrund (HTL, Studium und/oder einschlägige Erfahrung) Breites Wissen im Bereich IT Security Projektleitungserfahrung Deutsch und Englisch Das Angebot Eine sichere Festanstellung in einem wirtschaftlich gesunden, eigentümergef…</t>
  </si>
  <si>
    <t xml:space="preserve">Proje yönetimi, Tedarikçi yönetimi, Risk yönetimi, Politika / uyum, Denetim / audit</t>
  </si>
  <si>
    <t xml:space="preserve">Pentest</t>
  </si>
  <si>
    <t xml:space="preserve">Almanca CV ile başvur; İngilizce yeterliliğini ve Almanca B1/B2'yi açıkça yaz · Personel danışmanı ilanı → danışmanı telefon/e-posta ile ara, diğer açık pozisyonlarını da sor · İletişim: office@hr-schoeffmann.at</t>
  </si>
  <si>
    <t xml:space="preserve">https://www.linkedin.com/company/hr-consulting-ines-sch%C3%B6ffmann-gmbh</t>
  </si>
  <si>
    <t xml:space="preserve">SPAR ICS – Information &amp; Communication Services</t>
  </si>
  <si>
    <t xml:space="preserve">Product Lead IT Network (m/w/d)</t>
  </si>
  <si>
    <t xml:space="preserve">Wien, Salzburg (Stadt)</t>
  </si>
  <si>
    <t xml:space="preserve">Freude an der Zusammenarbeit mit internationalen Teams Fließenden Deutsch- und Englischkenntnissen in Wort und Schrift Darauf kannst du dich fr</t>
  </si>
  <si>
    <t xml:space="preserve">~€60k+/yıl (ilan: ab 60.000 € jährlich)</t>
  </si>
  <si>
    <t xml:space="preserve">https://www.karriere.at/jobs/7880023</t>
  </si>
  <si>
    <t xml:space="preserve">https://www.linkedin.com/jobs/view/4470455077</t>
  </si>
  <si>
    <t xml:space="preserve">Mehrjähriger Berufserfahrung im Bereich Netzwerkarchitektur und Netzwerksicherheit Expertenwissen in Design, Implementierung und Administration von WAN-Lösungen Fundierten Kenntnissen moderner WAN- und LAN-Technologien sowie relevanter Protokolle (BGP, MPLS, WDM, QoS, Cisco SD-WAN, 5G WAN) Erfahrung in der Steuerung von Netzwerk-Service-Providern von Vorteil Kommunikationsstärke und der Fähigkeit, komplexe technische…</t>
  </si>
  <si>
    <t xml:space="preserve">Ağ / Firewall / VPN, Tedarikçi yönetimi, Perakende / çok lokasyon</t>
  </si>
  <si>
    <t xml:space="preserve">Almanca C1 / çok iyi Almanca, Ağ üreticisi sertifikası (Cisco/Fortinet/Palo Alto)</t>
  </si>
  <si>
    <t xml:space="preserve">Almanca C1 isteniyor – yine de başvurmak istersen Almanca CV + dil planı (kurs/sertifika) belirt</t>
  </si>
  <si>
    <t xml:space="preserve">https://www.karriere.at/f/spar-ics-information-communication-services</t>
  </si>
  <si>
    <t xml:space="preserve">Deloitte</t>
  </si>
  <si>
    <t xml:space="preserve">(Senior) Manager ServiceNow Architekt (all genders)</t>
  </si>
  <si>
    <t xml:space="preserve">IT servis yönetimi (ITIL)</t>
  </si>
  <si>
    <t xml:space="preserve">besitzt exzellente kommunikative Fähigkeiten in Deutsch und Englisch Erfüllst du nicht alle genannten Kriterien? Kein Problem</t>
  </si>
  <si>
    <t xml:space="preserve">~€67k+/yıl (ilan metninden)</t>
  </si>
  <si>
    <t xml:space="preserve">https://www.linkedin.com/jobs/view/4292781889</t>
  </si>
  <si>
    <t xml:space="preserve">Du hast ein abgeschlossenes Studium der Informatik oder verwandter Fachbereiche, bevorzugt mit Spezialisierung auf IT-Infrastruktur, Softwareentwicklung oder Data Science. Du bringst mindestens 5 Jahre Erfahrung in ITSM und/oder der Implementierung von ServiceNow mit, einschließlich Erfahrung in leitenden Positionen. Du verfügst über vertiefte Kenntnisse in der Architektur von IT-Lösungen und im Projektmanagement. Du…</t>
  </si>
  <si>
    <t xml:space="preserve">ITIL / ITSM, SQL Server / DB, Proje yönetimi, Ekip liderliği, Perakende / çok lokasyon</t>
  </si>
  <si>
    <t xml:space="preserve">Scripting / otomasyon (PowerShell vb.), Programlama, ANA ŞART: İş uygulaması alanı (CRM/ERP/Legal/ServiceNow…)</t>
  </si>
  <si>
    <t xml:space="preserve">Almanca CV ile başvur; İngilizce yeterliliğini ve Almanca B1/B2'yi açıkça yaz · İletişim: barrierefreiheit@deloitte.at.</t>
  </si>
  <si>
    <t xml:space="preserve">https://www.linkedin.com/company/deloitte</t>
  </si>
  <si>
    <t xml:space="preserve">ReqPOOL GmbH</t>
  </si>
  <si>
    <t xml:space="preserve">Projektmanager Beratung mit PO-Erfahrung für Software &amp; Digitalisierung (m/w/d) im Bereich Energy</t>
  </si>
  <si>
    <t xml:space="preserve">Linz, Wien, Salzburg (Stadt)</t>
  </si>
  <si>
    <t xml:space="preserve">mit PO-Zertifizierung (CSPO, PSPO) Du bist reisebereit im deutschsprachigen Raum, ergänzend zur Büro- und Home-Office-Arbeit Du sprichs</t>
  </si>
  <si>
    <t xml:space="preserve">~€66k+/yıl (ilan: 66.000 € – 76.000 € jährlich)</t>
  </si>
  <si>
    <t xml:space="preserve">https://www.karriere.at/jobs/7859100</t>
  </si>
  <si>
    <t xml:space="preserve">kritisch, übersetzt sie in umsetzbare Spezifikationen und managst Erwartungen zu Scope, Zeit und Budget Du erstellst Fachkonzepte (Screens, Navigations-, Rollen- und Rechtekonzepte), Business Cases, Prozessmodelle sowie Markt- und Datenanalysen, Ausschreibungsunterlagen und Benchmarkings - inklusive fachlichem Verständnis für Systemanbindungen und API-Design Du definierst fachliche Testfälle, nimmst Features ab, stim…</t>
  </si>
  <si>
    <t xml:space="preserve">Ağ / Firewall / VPN, Proje yönetimi, Bütçe, Ekip liderliği, Risk yönetimi</t>
  </si>
  <si>
    <t xml:space="preserve">https://www.karriere.at/f/reqpool</t>
  </si>
  <si>
    <t xml:space="preserve">KTM AG</t>
  </si>
  <si>
    <t xml:space="preserve">Head of IT Infrastructure &amp; Operations*</t>
  </si>
  <si>
    <t xml:space="preserve">Mattighofen</t>
  </si>
  <si>
    <t xml:space="preserve">45–60 dk</t>
  </si>
  <si>
    <t xml:space="preserve">~€82k+/yıl (ilan: ab 81.500 € jährlich)</t>
  </si>
  <si>
    <t xml:space="preserve">https://www.karriere.at/jobs/7852769</t>
  </si>
  <si>
    <t xml:space="preserve">Mehrjährige Berufs‑ und Führungserfahrung im IT‑Infrastructure‑ und/oder Operations‑Umfeld Fundierte Erfahrung in der Steuerung von operativen IT‑Einheiten, Dienstleistern und komplexen IT‑Betriebsstrukturen Erfahrung mit KPI‑, SLA‑ und Provider‑Management sowie Budget‑ und Vertragsverantwortung Fähigkeit, auch in komplexen oder unsicheren Situationen klare Entscheidungen zu treffen und konsequent umzusetzen Ausgeprä…</t>
  </si>
  <si>
    <t xml:space="preserve">Tedarikçi yönetimi, Bütçe, Ekip liderliği</t>
  </si>
  <si>
    <t xml:space="preserve">Linux</t>
  </si>
  <si>
    <t xml:space="preserve">https://www.karriere.at/f/ktm</t>
  </si>
  <si>
    <t xml:space="preserve">ACP Gruppe</t>
  </si>
  <si>
    <t xml:space="preserve">Senior Operations Engineer m, w, d</t>
  </si>
  <si>
    <t xml:space="preserve">Salzburg</t>
  </si>
  <si>
    <t xml:space="preserve">https://www.karriere.at/jobs/7818680</t>
  </si>
  <si>
    <t xml:space="preserve">https://bewerbung.acp-gruppe.com/at/rx/1119</t>
  </si>
  <si>
    <t xml:space="preserve">Analytisches Denken und strukturierte Problemlösung. Verantwortungsbewusstsein und Zuverlässigkeit. Kommunikations‑ und Teamfähigkeit. Sehr gute Kenntnisse im Bereich Hypervisor (VMware und Hyper-V). Sehr gute Kenntnisse im Microsoft Windows Bereich inkl. Rollen &amp; Features. Sehr gute Kenntnisse bei Backup &amp; Restore Systemen (Veeam und CommVault). Gute Netzwerkkenntnisse im Bereich Firewalls (Fortinet und Juniper), Sw…</t>
  </si>
  <si>
    <t xml:space="preserve">Windows Server, Sanallaştırma (Hyper-V/Proxmox), Backup / DR, Ağ / Firewall / VPN, Tedarikçi yönetimi, Bütçe, Microsoft ortamı, Perakende / çok lokasyon</t>
  </si>
  <si>
    <t xml:space="preserve">VMware, Ağ üreticisi sertifikası (Cisco/Fortinet/Palo Alto)</t>
  </si>
  <si>
    <t xml:space="preserve">https://www.karriere.at/f/acp-gruppe</t>
  </si>
  <si>
    <t xml:space="preserve">Senoplast Klepsch &amp; Co GmbH</t>
  </si>
  <si>
    <t xml:space="preserve">IT Operations &amp; Security Manager (m/w/d)</t>
  </si>
  <si>
    <t xml:space="preserve">Piesendorf</t>
  </si>
  <si>
    <t xml:space="preserve">2026-08-27</t>
  </si>
  <si>
    <t xml:space="preserve">https://www.karriere.at/jobs/10024962</t>
  </si>
  <si>
    <t xml:space="preserve">Mehrjährige Berufserfahrung im IT Operations Management, Security Information Management oder in einer kombinierten Rolle Gutes Verständnis von ITIL-orientierten Prozessen, insbesondere in den Bereichen Incident, Problem, Change und Service Management Verständnis für Security Information Management Strukturierte, eigenverantwortliche und ergebnisorientierte Arbeitsweise in einem modernen IT-Umfeld mit Fokus auf Veran…</t>
  </si>
  <si>
    <t xml:space="preserve">ISO 27001 / ISMS, ITIL / ITSM, Tedarikçi yönetimi, Perakende / çok lokasyon</t>
  </si>
  <si>
    <t xml:space="preserve">https://www.karriere.at/f/senoplast-klepsch</t>
  </si>
  <si>
    <t xml:space="preserve">Arvai Plastics GmbH &amp; CoKG</t>
  </si>
  <si>
    <t xml:space="preserve">IT-Systemadministrator (m/w/d)</t>
  </si>
  <si>
    <t xml:space="preserve">Neumarkt am Wallersee</t>
  </si>
  <si>
    <t xml:space="preserve">Arbeitsweise Teamfähigkeit und Kommunikationsstärke Gute Deutsch- und Englischkenntnisse WIR BIETEN DIR Wachsendes Familienunternehmen</t>
  </si>
  <si>
    <t xml:space="preserve">Sadece KV asgarisi: ~€34k/yıl (ilan metni) – gerçek maaş belirtilmemiş, genelde üstünde</t>
  </si>
  <si>
    <t xml:space="preserve">https://www.karriere.at/jobs/10030515</t>
  </si>
  <si>
    <t xml:space="preserve">und Berufserfahrungen; mögliche Überzahlungen werden selbstverständlich berücksichtigt. KV Mindestgehalt 2.427,90 EUR Benefits Aus- und Weiterbildung Gute Anbindung Team-Events Aus- und Weiterbildung Gute Anbindung Team-Events Alle Benefits anzeigen Weniger Benefits anzeigen INTERESSIERT? Wenn du eine neue Herausforderung in einem dynamischen Umfeld suchst, dann freuen wir uns auf deine aussagekräftige Bewerbung. Bei…</t>
  </si>
  <si>
    <t xml:space="preserve">Windows Server, Sanallaştırma (Hyper-V/Proxmox), Backup / DR, Ağ / Firewall / VPN, Ekip liderliği, Politika / uyum, Perakende / çok lokasyon</t>
  </si>
  <si>
    <t xml:space="preserve">Almanca CV ile başvur; İngilizce yeterliliğini ve Almanca B1/B2'yi açıkça yaz · İletişim: jobs@arvai-plastics.at.</t>
  </si>
  <si>
    <t xml:space="preserve">https://www.karriere.at/f/arvai-plastics</t>
  </si>
  <si>
    <t xml:space="preserve">Security Consultant - Vulnerability- und Exposure-Management (m/w/d)</t>
  </si>
  <si>
    <t xml:space="preserve">Salzburg (Stadt), Wien, Wernberg</t>
  </si>
  <si>
    <t xml:space="preserve">Agieren in der Beratungsrolle als Security Consultant Guten Deutsch- und fließenden Englischkenntnisse Teamgeist und der Fähigkeit, Veran</t>
  </si>
  <si>
    <t xml:space="preserve">~€50k+/yıl (ilan: ab 50.000 € jährlich)</t>
  </si>
  <si>
    <t xml:space="preserve">https://www.karriere.at/jobs/7868473</t>
  </si>
  <si>
    <t xml:space="preserve">https://www.linkedin.com/jobs/view/4461268801</t>
  </si>
  <si>
    <t xml:space="preserve">Security Consultant - Vulnerability- und Exposure-Management (m/w/d) Wir sind das "I" und "T" in Retail... Dienstort: Salzburg, Wien, Wernberg Ausmaß: Vollzeit SPAR ICS ist die IT-Gesellschaft der SPAR Österreich-Gruppe und kümmert sich um sämtliche IT-Belange von SPAR, INTERSPAR und SES Spar European Shopping Centers. Wir sind über 700 kluge Köpfe und haben zwei Agenden: Das reibungslose Einkaufserlebnis aller SPAR-…</t>
  </si>
  <si>
    <t xml:space="preserve">Ekip liderliği, Perakende / çok lokasyon</t>
  </si>
  <si>
    <t xml:space="preserve">Messezentrum Salzburg</t>
  </si>
  <si>
    <t xml:space="preserve">IT-ProjektmanagerIn / IT-SpezialistIn Daten &amp; Anwendungen Service &amp; IT (m/w/d)</t>
  </si>
  <si>
    <t xml:space="preserve">https://www.karriere.at/jobs/10032419</t>
  </si>
  <si>
    <t xml:space="preserve">Unterstützung bei Deiner Weiterbildung und persönlichen Entwicklung Detaillierte Angaben zur Stelle Vollzeit (Festanstellung) Montag bis Freitag 38,5 Stunden Dienstort Salzburg (Stadt) Erforderliche Kenntnisse IT-Projektmanagement Datenbanken (MS SQL) Access Nice-To-Have Kenntnisse Jira Confluence MS Dynamics Erforderliche Ausbildung Abgeschlossene Ausbildung oder Studium mit IT-Schwerpunkt Detaillierte Angaben zur S…</t>
  </si>
  <si>
    <t xml:space="preserve">SQL Server / DB, Proje yönetimi, Ekip liderliği, Microsoft ortamı, Perakende / çok lokasyon</t>
  </si>
  <si>
    <t xml:space="preserve">İş uygulaması alanı (CRM/ERP/Legal/ServiceNow…)</t>
  </si>
  <si>
    <t xml:space="preserve">https://www.karriere.at/f/messezentrum-salzburg</t>
  </si>
  <si>
    <t xml:space="preserve">Universität Salzburg</t>
  </si>
  <si>
    <t xml:space="preserve">IT-Servicemanager*in</t>
  </si>
  <si>
    <t xml:space="preserve">https://www.linkedin.com/jobs/view/4458175246</t>
  </si>
  <si>
    <t xml:space="preserve">Bewerbungsfrist: 07.10.2026 Wochenstunden: 40 h/W Ihre Aufgaben: Analyse von Kund*innenanforderungen und Übersetzung von Geschäftsanforderungen in technische Konzepte Weiterentwicklung des Servicekatalogs Entwicklung und Implementierung von neuen und Weiterentwicklung von bestehenden Serviceprozessen Design und Aufbau übergreifender Prozesse und Systeme zur Integration (SAP, Campusmanagement, ...) Mitwirkung an Daten…</t>
  </si>
  <si>
    <t xml:space="preserve">Tedarikçi yönetimi</t>
  </si>
  <si>
    <t xml:space="preserve">SAP</t>
  </si>
  <si>
    <t xml:space="preserve">https://at.linkedin.com/school/universitaet-salzburg/</t>
  </si>
  <si>
    <t xml:space="preserve">ip50 Personalberatung (müşteri gizli: ‘Weltmarktführer’, Hallein)</t>
  </si>
  <si>
    <t xml:space="preserve">IT-Infrastrukturmanager (w/m/d)</t>
  </si>
  <si>
    <t xml:space="preserve">Hallein, Salzburg, Austria</t>
  </si>
  <si>
    <t xml:space="preserve">Arbeitsweise sowie Freude an Technik und Support ausgezeichnete Deutsch- und sehr gute Englischkenntnisse Benefits Geboten wird eine langfris</t>
  </si>
  <si>
    <t xml:space="preserve">https://www.linkedin.com/jobs/view/4471884648</t>
  </si>
  <si>
    <t xml:space="preserve">Abgeschlossene Ausbildung (z.B. IT-Lehre, HTL, FH etc.) oder Quereinsteiger mit Berufserfahrung Fundierte Kenntnisse im Bereich Netzwerk und Serverumgebungen Erfahrung mit Microsoft 365 und Active Directory von Vorteil Strukturierte und lösungsorientierte Arbeitsweise sowie Freude an Technik und Support ausgezeichnete Deutsch- und sehr gute Englischkenntnisse Benefits Geboten wird eine langfristige Perspektive in ein…</t>
  </si>
  <si>
    <t xml:space="preserve">Active Directory, Backup / DR, Ağ / Firewall / VPN, Microsoft ortamı</t>
  </si>
  <si>
    <t xml:space="preserve">Almanca C1 / çok iyi Almanca, Intune / M365 admin</t>
  </si>
  <si>
    <t xml:space="preserve">Almanca C1 isteniyor – yine de başvurmak istersen Almanca CV + dil planı (kurs/sertifika) belirt · Personel danışmanı ilanı → danışmanı telefon/e-posta ile ara, diğer açık pozisyonlarını da sor</t>
  </si>
  <si>
    <t xml:space="preserve">https://www.linkedin.com/company/ip50</t>
  </si>
  <si>
    <t xml:space="preserve">Teamlead IT Service Desk (m/w/d)</t>
  </si>
  <si>
    <t xml:space="preserve">daran, Menschen zu begeistern und weiterzuentwickeln Sehr guten Deutsch- sowie Englischkenntnissen in Wort und Schrift Darauf kannst du dich</t>
  </si>
  <si>
    <t xml:space="preserve">~€55k+/yıl (ilan: ab 55.000 € jährlich)</t>
  </si>
  <si>
    <t xml:space="preserve">https://www.karriere.at/jobs/7863127</t>
  </si>
  <si>
    <t xml:space="preserve">https://www.linkedin.com/jobs/view/4454494899</t>
  </si>
  <si>
    <t xml:space="preserve">Teamlead IT Service Desk (m/w/d) Wir sind das "I" und "T" in Retail... Dienstort: Salzburg, Wien, Wernberg Ausmaß: Vollzeit SPAR ICS ist die IT-Gesellschaft der SPAR Österreich-Gruppe und kümmert sich um sämtliche IT-Belange von SPAR, INTERSPAR und SES Spar European Shopping Centers. Wir sind über 700 kluge Köpfe und haben zwei Agenden: Das reibungslose Einkaufserlebnis aller SPAR-Kund:innen in 5 Ländern und die digi…</t>
  </si>
  <si>
    <t xml:space="preserve">ITIL / ITSM, SQL Server / DB, Ekip liderliği, Perakende / çok lokasyon</t>
  </si>
  <si>
    <t xml:space="preserve">Almanca C1 / çok iyi Almanca, Scripting / otomasyon (PowerShell vb.), İş uygulaması alanı (CRM/ERP/Legal/ServiceNow…), AI / ML</t>
  </si>
  <si>
    <t xml:space="preserve">Sanitas GmbH</t>
  </si>
  <si>
    <t xml:space="preserve">IT-Systemspezialist/in für klinische Informationssysteme (m/w/d)</t>
  </si>
  <si>
    <t xml:space="preserve">Arbeitsweise Kommunikationsstärke, Teamgeist und Lernbereitschaft Deutsch und Englisch in Wort und Schrift Wir legen Wert auf Eigeninitiative,</t>
  </si>
  <si>
    <t xml:space="preserve">~€42k+/yıl (ilan: ab 42.000 € jährlich)</t>
  </si>
  <si>
    <t xml:space="preserve">https://www.karriere.at/jobs/10033575</t>
  </si>
  <si>
    <t xml:space="preserve">Abgeschlossene Ausbildung im IT-Bereich (HTL, Fachhochschule, Universität) Gute Kenntnisse von (Windows-)Technologien wie Kommandozeile, Security/Netzwerkfreigaben, Powershell, Datenbanken sowie Standards (z.B. XML) Erfahrungen mit Themen wie Automatisierung, Schnittstellen (HL7, FHIR usw.) von Vorteil Selbstständige, strukturierte und lösungsorientierte Arbeitsweise Kommunikationsstärke, Teamgeist und Lernbereitsch…</t>
  </si>
  <si>
    <t xml:space="preserve">Windows Server, Ağ / Firewall / VPN, SQL Server / DB, Ekip liderliği, Perakende / çok lokasyon</t>
  </si>
  <si>
    <t xml:space="preserve">Scripting / otomasyon (PowerShell vb.), Programlama</t>
  </si>
  <si>
    <t xml:space="preserve">https://www.karriere.at/f/sanitas</t>
  </si>
  <si>
    <t xml:space="preserve">DBConcepts GmbH</t>
  </si>
  <si>
    <t xml:space="preserve">Senior Oracle Database Administrator (m/w/x)</t>
  </si>
  <si>
    <t xml:space="preserve">Steiermark, Wien, Voralberg, Kärnten, Niederösterreich, Burgenland, Tirol, Salzburg, Österreich, Oberösterreich</t>
  </si>
  <si>
    <t xml:space="preserve">~€80k+/yıl (ilan: ab 80.000 € jährlich)</t>
  </si>
  <si>
    <t xml:space="preserve">https://www.karriere.at/jobs/10033619</t>
  </si>
  <si>
    <t xml:space="preserve">, Erfahrung und Vordienstzeiten. Für unser Unternehmen gilt der Kollektivvertrag IT. 80.000 EUR Benefits Aus- und Weiterbildung Berufliche und persönliche Weiterentwicklung Berufliche und persönliche Weiterentwicklung Team-Events Freundschaftliche Arbeitsatmosphäre &amp; viele Teamaktivitäten Freundschaftliche Arbeitsatmosphäre &amp; viele Teamaktivitäten Zusatzversicherungen Betriebliche Altersvorsorge Gesundheitsmaßnahmen…</t>
  </si>
  <si>
    <t xml:space="preserve">Windows Server, Sanallaştırma (Hyper-V/Proxmox), SQL Server / DB, Tedarikçi yönetimi, Perakende / çok lokasyon</t>
  </si>
  <si>
    <t xml:space="preserve">ANA ŞART: Linux, ANA ŞART: Oracle</t>
  </si>
  <si>
    <t xml:space="preserve">https://www.karriere.at/f/dbconcepts</t>
  </si>
  <si>
    <t xml:space="preserve">Österreichische Gesundheitskasse</t>
  </si>
  <si>
    <t xml:space="preserve">Projektleitung Datenmanagement &amp; Data Governance</t>
  </si>
  <si>
    <t xml:space="preserve">~€61k+/yıl (ilan: ab 4.327,50 € monatlich)</t>
  </si>
  <si>
    <t xml:space="preserve">https://www.karriere.at/jobs/10032941</t>
  </si>
  <si>
    <t xml:space="preserve">sowie Übersetzung in umsetzbare Datenlösungen Moderation von Workshops sowie die Abstimmung mit Entscheidungsträgern Sicherstellung der Zielerreichung hinsichtlich Nutzens, Qualität, Zeit und Budget Ihr Profil Abgeschlossenes Studium im Bereich Informatik, Wirtschaftsinformatik, Data Science, Betriebswirtschaft oder eine vergleichbare Qualifikation Managementkompetenzen sowie praktische Erfahrung im Führen dezentrale…</t>
  </si>
  <si>
    <t xml:space="preserve">Proje yönetimi, Bütçe, Ekip liderliği, Politika / uyum, Perakende / çok lokasyon</t>
  </si>
  <si>
    <t xml:space="preserve">ANA ŞART: İş uygulaması alanı (CRM/ERP/Legal/ServiceNow…)</t>
  </si>
  <si>
    <t xml:space="preserve">Almanca CV + Anschreiben ile başvur (Almanca B1/B2 belirt) · İletişim: recruiting-team5@oegk.at.</t>
  </si>
  <si>
    <t xml:space="preserve">https://www.karriere.at/f/%C3%B6sterreichische-gesundheitskasse-wien</t>
  </si>
  <si>
    <t xml:space="preserve">Arineo Group</t>
  </si>
  <si>
    <t xml:space="preserve">Senior Projektmanager ERP (all genders)</t>
  </si>
  <si>
    <t xml:space="preserve">knowledge of project planning software Very good command of German and good command of English Willingness to travel for project-related</t>
  </si>
  <si>
    <t xml:space="preserve">~€75k+/yıl (ilan metninden)</t>
  </si>
  <si>
    <t xml:space="preserve">2026-09-09</t>
  </si>
  <si>
    <t xml:space="preserve">https://www.linkedin.com/jobs/view/4463896589</t>
  </si>
  <si>
    <t xml:space="preserve">At least 5 years’ experience as a project manager in the implementation of ERP systems or complex software projects – ideally on the service provider side Proven experience in leading projects spanning several years and managing long-term client relationships Knowledge of an agile project methodology A confident and assured manner, as well as strong communication skills A solution- and service-oriented approach to wo…</t>
  </si>
  <si>
    <t xml:space="preserve">ITIL / ITSM, Proje yönetimi, Tedarikçi yönetimi, Bütçe, Risk yönetimi, Microsoft ortamı</t>
  </si>
  <si>
    <t xml:space="preserve">Azure / Entra ID, Container / IaC / DevOps, ANA ŞART: İş uygulaması alanı (CRM/ERP/Legal/ServiceNow…), AI / ML</t>
  </si>
  <si>
    <t xml:space="preserve">https://de.linkedin.com/company/arineo</t>
  </si>
  <si>
    <t xml:space="preserve">Netzwerk Systems Engineer / Consultant</t>
  </si>
  <si>
    <t xml:space="preserve">Ausgeprägter Teamgeist und Freude an Wissensaustausch Sehr gute Deutsch- und Englischkenntnisse in Wort und Schrift Hohe Kundenorientierung F</t>
  </si>
  <si>
    <t xml:space="preserve">~€59k+/yıl (ilan: ab 58.800 € jährlich)</t>
  </si>
  <si>
    <t xml:space="preserve">https://www.karriere.at/jobs/7860364</t>
  </si>
  <si>
    <t xml:space="preserve">https://bewerbung.acp-gruppe.com/at/rx/887</t>
  </si>
  <si>
    <t xml:space="preserve">Abgeschlossene Ausbildung im IT-Bereich (HTL, FH, Uni o. Ä.) oder einschlägige Berufserfahrung Sehr gutes technisches Verständnis für IT-Infrastruktur als Gesamtsystem Interesse an kontinuierlicher Weiterbildung und neuen Technologien Selbstständige, strukturierte und kundenorientierte Arbeitsweise Ausgeprägter Teamgeist und Freude an Wissensaustausch Sehr gute Deutsch- und Englischkenntnisse in Wort und Schrift Hohe…</t>
  </si>
  <si>
    <t xml:space="preserve">Ağ / Firewall / VPN, Tedarikçi yönetimi</t>
  </si>
  <si>
    <t xml:space="preserve">(Senior) Systems Engineer m, w, d</t>
  </si>
  <si>
    <t xml:space="preserve">https://www.karriere.at/jobs/7879510</t>
  </si>
  <si>
    <t xml:space="preserve">https://www.linkedin.com/jobs/view/4468764638
https://bewerbung.acp-gruppe.com/at/rx/907</t>
  </si>
  <si>
    <t xml:space="preserve">Abgeschlossene Ausbildung im IT-Bereich (HTL, FH, Uni o. Ä.) und einschlägige Berufserfahrung Sehr gutes technisches Verständnis für IT-Infrastrukturen als Gesamtsystem Interesse an kontinuierlicher Weiterbildung und neuen Technologien Selbstständige, strukturierte und kundenorientierte Arbeitsweise Ausgeprägter Teamgeist und Freude an Wissensaustausch Sehr gute Deutsch- und Englischkenntnisse in Wort und Schrift Hoh…</t>
  </si>
  <si>
    <t xml:space="preserve">Windows Server, Sanallaştırma (Hyper-V/Proxmox), Tedarikçi yönetimi, Ekip liderliği, Microsoft ortamı</t>
  </si>
  <si>
    <t xml:space="preserve">Almanca C1 / çok iyi Almanca, Azure / Entra ID, Intune / M365 admin</t>
  </si>
  <si>
    <t xml:space="preserve">Iventa. The Human Management Group</t>
  </si>
  <si>
    <t xml:space="preserve">Senior IT Service Manager (w/m/d) – ITSM &amp; Prozessmanagement</t>
  </si>
  <si>
    <t xml:space="preserve">IT Landschaften und serviceorientierte Arbeitsweisen Sehr gute Deutschkenntnisse (C1 Niveau) sowie gute Englischkenntnisse (B2 Niveau) Ausge</t>
  </si>
  <si>
    <t xml:space="preserve">~€48k+/yıl (ilan metninden)</t>
  </si>
  <si>
    <t xml:space="preserve">https://www.linkedin.com/jobs/view/4446306750</t>
  </si>
  <si>
    <t xml:space="preserve">und einschlägiger Berufserfahrung ist eine höhere Einstufung möglich. Gerne besprechen wir die Details persönlich mit Ihnen. Bewerben Sie sich bei uns unter www.iventa.eu/bewerberportal/offene-jobs mit Angabe der Ref.-Nr. 2026-06673. Wir freuen uns darauf, Sie erfolgreich zu vernetzen! Ansprechperson Zsuzsanna Torda +43 (1) 523 49 44-282 Jetzt bewerben…</t>
  </si>
  <si>
    <t xml:space="preserve">ITIL / ITSM, Tedarikçi yönetimi</t>
  </si>
  <si>
    <t xml:space="preserve">Almanca C1 / çok iyi Almanca, İş uygulaması alanı (CRM/ERP/Legal/ServiceNow…)</t>
  </si>
  <si>
    <t xml:space="preserve">https://at.linkedin.com/company/iventagroup</t>
  </si>
  <si>
    <t xml:space="preserve">IT-Systemadministrator (w/m/d)</t>
  </si>
  <si>
    <t xml:space="preserve">Grundverständnis im Bereich IT-Security ausgezeichnete Deutsch- und sehr gute Englischkenntnisse Benefits Geboten wird eine langfris</t>
  </si>
  <si>
    <t xml:space="preserve">https://www.linkedin.com/jobs/view/4471881682</t>
  </si>
  <si>
    <t xml:space="preserve">Abgeschlossene Ausbildung (z.B. IT-Lehre, HTL, FH etc.) oder Quereinsteiger mit Berufserfahrung Erfahrung mit MS Windows (Active Directory) Kenntnisse in der Server- und Netzwerkadministration Grundverständnis im Bereich IT-Security ausgezeichnete Deutsch- und sehr gute Englischkenntnisse Benefits Geboten wird eine langfristige Perspektive in einem wirtschaftlich äußerst stabilen Umfeld mit klarer Rückendeckung des M…</t>
  </si>
  <si>
    <t xml:space="preserve">Active Directory, Windows Server, Backup / DR, Ağ / Firewall / VPN, Proje yönetimi, Microsoft ortamı</t>
  </si>
  <si>
    <t xml:space="preserve">IT Project Manager – Finance Applications</t>
  </si>
  <si>
    <t xml:space="preserve">Berufserfahrung Gute Deutschkenntnisse sowie fließende Englischkenntnisse Fundierte praktische Erf</t>
  </si>
  <si>
    <t xml:space="preserve">https://jobs.redbull.com/at-de/elsbethen-it-project-application-manager-sapfi-application--ref31534p</t>
  </si>
  <si>
    <t xml:space="preserve">https://www.karriere.at/jobs/7821824
https://www.linkedin.com/jobs/view/4454029704
https://www.linkedin.com/jobs/view/4425603684</t>
  </si>
  <si>
    <t xml:space="preserve">in funktionale und technische Lösungskonzepte und verantwortest Projekte ganzheitlich - von der Konzeption über die Implementierung bis zum Go-live und zum stabilen Betrieb. Dabei entwickelst du effiziente und skalierbare Finanzprozesse in einer globalen SAP-S/4HANA-Landschaft kontinuierlich weiter. APPLICATION MANAGEMENT Als Application Owner für SAP-FI-Lösungen verantwortest du die Finance-Applikationslandschaft en…</t>
  </si>
  <si>
    <t xml:space="preserve">Proje yönetimi, Bütçe, Politika / uyum</t>
  </si>
  <si>
    <t xml:space="preserve">ANA ŞART: SAP, ANA ŞART: İş uygulaması alanı (CRM/ERP/Legal/ServiceNow…), AI / ML</t>
  </si>
  <si>
    <t xml:space="preserve">KPMG Österreich</t>
  </si>
  <si>
    <t xml:space="preserve">Senior ISO 270XX-Auditor:in bzw. Implementierungsspezialist:in</t>
  </si>
  <si>
    <t xml:space="preserve">Wien, Graz, Klagenfurt, Linz, Salzburg</t>
  </si>
  <si>
    <t xml:space="preserve">Zukunftsthemen der Digitalisierung von Vorteil Ausgezeichnete Deutsch- und Englischkenntnisse in Wort und Schrift Wenn du nicht alle Kompet</t>
  </si>
  <si>
    <t xml:space="preserve">~€58k+/yıl (ilan: ab 58.000 € jährlich)</t>
  </si>
  <si>
    <t xml:space="preserve">https://www.karriere.at/jobs/7868488</t>
  </si>
  <si>
    <t xml:space="preserve">unserer Kund:innen. Entsprechend deiner Erfahrung werden deine Aufgaben nicht nur in der Projektmitarbeit, sondern auch in der Projektleitung liegen. Im Auge des Security-Orkans: Digitale Transformation, Hacker Angriff, neue Entwicklungsmodelle, Technical Debt und Cloud Technologie - hilf mit, Österreich sicherer zu machen! Perspektiven Rasche Übernahme von Projekt- &amp; und ggf. Führungsverantwortung um die kniffeligst…</t>
  </si>
  <si>
    <t xml:space="preserve">ISO 27001 / ISMS, ITIL / ITSM, Ağ / Firewall / VPN, Proje yönetimi, Bütçe, Ekip liderliği, Risk yönetimi, Politika / uyum, Denetim / audit, Perakende / çok lokasyon</t>
  </si>
  <si>
    <t xml:space="preserve">Almanca C1 / çok iyi Almanca, Container / IaC / DevOps, Programlama, NIS-2 / DORA / TISAX, CISSP / CISM / CISA, ANA ŞART: AI / ML</t>
  </si>
  <si>
    <t xml:space="preserve">https://www.karriere.at/f/kpmg-%C3%B6sterreich</t>
  </si>
  <si>
    <t xml:space="preserve">teampool Personalberatung</t>
  </si>
  <si>
    <t xml:space="preserve">IT Support Engineer (m/w/d)</t>
  </si>
  <si>
    <t xml:space="preserve">&amp; MS Office) und Apple -Umfeld (macOS &amp; iOS) Gute Englisch- und Deutschkenntnisse in Wort und Schrift für die Kommunikation mit den Usern Tea</t>
  </si>
  <si>
    <t xml:space="preserve">~€35k+/yıl (ilan: ab 2.500 € monatlich)</t>
  </si>
  <si>
    <t xml:space="preserve">2026-09-10</t>
  </si>
  <si>
    <t xml:space="preserve">https://www.karriere.at/jobs/7874311</t>
  </si>
  <si>
    <t xml:space="preserve">Abgeschlossene IT- Ausbildung oder Berufserfahrung im IT Bereich Erfahrung im Microsoft- (Windows &amp; MS Office) und Apple -Umfeld (macOS &amp; iOS) Gute Englisch- und Deutschkenntnisse in Wort und Schrift für die Kommunikation mit den Usern Teamfähigkeit und gute Kommunikationsfähigkeiten, um erfolgreich mit verschiedenen internen und externen Partnern zusammenzuarbeiten Zusätzliche Sprachkenntnisse von Vorteil Unser Kund…</t>
  </si>
  <si>
    <t xml:space="preserve">Windows Server, Microsoft ortamı</t>
  </si>
  <si>
    <t xml:space="preserve">Almanca CV ile başvur; İngilizce yeterliliğini ve Almanca B1/B2'yi açıkça yaz · Personel danışmanı ilanı → danışmanı telefon/e-posta ile ara, diğer açık pozisyonlarını da sor · İletişim: bewerbung.seekirchen@teampool.com</t>
  </si>
  <si>
    <t xml:space="preserve">https://www.karriere.at/f/teampool-personalberatung</t>
  </si>
  <si>
    <t xml:space="preserve">Senior Enterprise Network Engineer (m/w/d)</t>
  </si>
  <si>
    <t xml:space="preserve">Wien, Wels, Salzburg (Stadt)</t>
  </si>
  <si>
    <t xml:space="preserve">~€65k+/yıl (ilan: 4.620 € – 5.620 € monatlich)</t>
  </si>
  <si>
    <t xml:space="preserve">https://www.karriere.at/jobs/10031631</t>
  </si>
  <si>
    <t xml:space="preserve">und Berufserfahrung vorgesehen. KV Min. KV Mindestgehalt 4.620 EUR 5.620 EUR Benefits Aus- und Weiterbildung Die Zukunft der Healthcare-IT kann man nur gestalten, wenn man immer up-to-date bleibt. Darum ermöglichen wir dir gerne individuelle Aus- und Weiterbildungen, Seminare und Schulungen. Die Zukunft der Healthcare-IT kann man nur gestalten, wenn man immer up-to-date bleibt. Darum ermöglichen wir dir gerne individ…</t>
  </si>
  <si>
    <t xml:space="preserve">Scripting / otomasyon (PowerShell vb.), ANA ŞART: Ağ üreticisi sertifikası (Cisco/Fortinet/Palo Alto)</t>
  </si>
  <si>
    <t xml:space="preserve">Datacenter Systems Engineer (m/w/d)</t>
  </si>
  <si>
    <t xml:space="preserve">~€50k+/yıl (ilan: 3.600 € – 4.600 € monatlich)</t>
  </si>
  <si>
    <t xml:space="preserve">https://www.karriere.at/jobs/10031629</t>
  </si>
  <si>
    <t xml:space="preserve">des Fachbereiches sowie der Einbringung eigener Ideen Sicherstellen der Serviceverfügbarkeit (Monitoring) Patch- und Firmware-Management bei der eingesetzten Hard- und Software Diese Skills solltest du mitbringen. Abgeschlossene IT-Ausbildung (Lehre/FH/Uni) Fundierte Kenntnisse in Hypervisor-Technologien (VMWare ESXi, MS Hyper-V, etc.) von Vorteil Erfahrung in der Verwaltung und Wartung von Virtualisierungsplattforme…</t>
  </si>
  <si>
    <t xml:space="preserve">Sanallaştırma (Hyper-V/Proxmox), Ekip liderliği, Politika / uyum, Microsoft ortamı, Perakende / çok lokasyon</t>
  </si>
  <si>
    <t xml:space="preserve">ANA ŞART: VMware</t>
  </si>
  <si>
    <t xml:space="preserve">SIGMATEK GmbH &amp; Co KG</t>
  </si>
  <si>
    <t xml:space="preserve">Senior IT Systems Engineer</t>
  </si>
  <si>
    <t xml:space="preserve">Lamprechtshausen</t>
  </si>
  <si>
    <t xml:space="preserve">Selbstständige, methodische und strukturierte Arbeitsweise Gute Deutsch- und Englischkenntnisse in Wort und Schrift Wir bieten Onboarding Pro</t>
  </si>
  <si>
    <t xml:space="preserve">https://www.karriere.at/jobs/7872163</t>
  </si>
  <si>
    <t xml:space="preserve">und Erfahrung. Bewerbung absenden We MaxUp Your Automation…</t>
  </si>
  <si>
    <t xml:space="preserve">Active Directory, Windows Server, Sanallaştırma (Hyper-V/Proxmox), Backup / DR, Ağ / Firewall / VPN, Microsoft ortamı</t>
  </si>
  <si>
    <t xml:space="preserve">Intune / M365 admin, Scripting / otomasyon (PowerShell vb.), Linux, VMware, Ağ üreticisi sertifikası (Cisco/Fortinet/Palo Alto)</t>
  </si>
  <si>
    <t xml:space="preserve">https://www.karriere.at/f/sigmatek</t>
  </si>
  <si>
    <t xml:space="preserve">IT-AV-Engineer</t>
  </si>
  <si>
    <t xml:space="preserve">und Programmierkenntnisse mit Schwerpunkt auf AV-Systeme Sehr gute Deutschkenntnisse (C1) und gute Englischkenntnisse (B2) Führerschein B Strukt</t>
  </si>
  <si>
    <t xml:space="preserve">~€48k+/yıl (ilan: ab 48.304,20 € jährlich)</t>
  </si>
  <si>
    <t xml:space="preserve">https://www.karriere.at/jobs/7862965</t>
  </si>
  <si>
    <t xml:space="preserve">https://www.linkedin.com/jobs/view/4458164478</t>
  </si>
  <si>
    <t xml:space="preserve">Fachliche Anforderungen Mehrjährige einschlägige Berufserfahrung in den genannten Aufgabenbereichen sowie der Live-Kongresstechnik und Live-Streaming Erfahrung im professionellen Audio-und Videobereich Gute Kenntnisse im Bereich Kommunikationstechnik und Netzwerktechnologie Gute IT- und Programmierkenntnisse mit Schwerpunkt auf AV-Systeme Sehr gute Deutschkenntnisse (C1) und gute Englischkenntnisse (B2) Führerschein…</t>
  </si>
  <si>
    <t xml:space="preserve">Ağ / Firewall / VPN, Ekip liderliği</t>
  </si>
  <si>
    <t xml:space="preserve">Almanca C1 / çok iyi Almanca, Programlama</t>
  </si>
  <si>
    <t xml:space="preserve">Almanca C1 isteniyor – yine de başvurmak istersen Almanca CV + dil planı (kurs/sertifika) belirt · İletişim: disability@plus.ac.at.</t>
  </si>
  <si>
    <t xml:space="preserve">https://www.karriere.at/f/universit%C3%A4t-salzburg-personalabteilung</t>
  </si>
  <si>
    <t xml:space="preserve">Heimat Österreich gemeinnützige Wohnungs- und Siedlungsgesellschaft m.b.H.</t>
  </si>
  <si>
    <t xml:space="preserve">IT Systemadministrator (m/w/d)</t>
  </si>
  <si>
    <t xml:space="preserve">~€50k+/yıl (ilan: ab 3.590,30 € monatlich)</t>
  </si>
  <si>
    <t xml:space="preserve">https://www.karriere.at/jobs/7852229</t>
  </si>
  <si>
    <t xml:space="preserve">Abgeschlossene Ausbildung im Bereich Informatik oder eine vergleichbare Qualifikation Mehrjährige Berufserfahrung in der Systemadministrationn sowie im User Support Fundiertes Wissen im Software- und Hardware sowie Erfahrung mit Windows Serverbetriebssystemen (2016-2025), Virtualisierung (VMware) und Netzwerktechnik Erfahrung im Bereich Microsoft Azure, Microsoft Entra, DNS Verwaltung, Email Workflows und Anti Spam I…</t>
  </si>
  <si>
    <t xml:space="preserve">Windows Server, Sanallaştırma (Hyper-V/Proxmox), Backup / DR, Ağ / Firewall / VPN, Microsoft ortamı</t>
  </si>
  <si>
    <t xml:space="preserve">Azure / Entra ID, Linux, VMware</t>
  </si>
  <si>
    <t xml:space="preserve">https://www.karriere.at/f/heimat-%C3%B6sterreich-gemeinn%C3%BCtzige-wohnungs-und-siedlungsgesellschaft</t>
  </si>
  <si>
    <t xml:space="preserve">iTaurus IT Dienstleistungs GmbH</t>
  </si>
  <si>
    <t xml:space="preserve">Systems Engineer (all genders)</t>
  </si>
  <si>
    <t xml:space="preserve">Bergheim</t>
  </si>
  <si>
    <t xml:space="preserve">sprichst fließend IT - und das nicht nur auf Deutsch, sondern auch auf Englisch</t>
  </si>
  <si>
    <t xml:space="preserve">~€63k+/yıl (ilan: 4.500 € – 6.500 € monatlich)</t>
  </si>
  <si>
    <t xml:space="preserve">https://www.karriere.at/jobs/10030831</t>
  </si>
  <si>
    <t xml:space="preserve">&amp; Erfahrung zwischen 4.500 EUR und 6.500 EUR brutto pro Monat (auf 38,5 Stunden Basis). Das Gehalt wird 14-mal jährlich ausbezahlt. Es gilt der Kollektivvertrag Informationstechnologie, Datenverarbeitung (IT). 4.500 EUR 6.500 EUR Überstunden Anfallende Überstunden werden teilweise in Form von Zeitausgleich abgegolten und teilweise ausbezahlt. Benefits Aus- und Weiterbildung Essenszulage Firmenhandy Firmennotebook Fle…</t>
  </si>
  <si>
    <t xml:space="preserve">Windows Server, Backup / DR, Ağ / Firewall / VPN, Microsoft ortamı, Perakende / çok lokasyon</t>
  </si>
  <si>
    <t xml:space="preserve">Almanca C1 / çok iyi Almanca, ANA ŞART: Intune / M365 admin</t>
  </si>
  <si>
    <t xml:space="preserve">https://www.karriere.at/f/itaurus-it-dienstleistungs-gmbh</t>
  </si>
  <si>
    <t xml:space="preserve">IT Operations Engineer</t>
  </si>
  <si>
    <t xml:space="preserve">~€45k+/yıl (ilan: &gt; € 45000 jährlich)</t>
  </si>
  <si>
    <t xml:space="preserve">2025-12-29</t>
  </si>
  <si>
    <t xml:space="preserve">ACP portalı</t>
  </si>
  <si>
    <t xml:space="preserve">https://bewerbung.acp-gruppe.com/at/rx/906</t>
  </si>
  <si>
    <t xml:space="preserve">Sie begeistern sich für aktuelle IT‑Infrastrukturen, arbeiten proaktiv und bringen hohe Lernbereitschaft mit. Sie erkennen technische Probleme schnell, analysieren diese strukturiert und lösen sie kundenorientiert. Sie verfügen über eine abgeschlossene IT‑Ausbildung (Lehre, Fachschule, HTL) und erste praktische Erfahrung im IT‑Support oder technischen Kundendienst. Sie besitzen fundierte Kenntnisse im Umgang mit Micr…</t>
  </si>
  <si>
    <t xml:space="preserve">Windows Server, Sanallaştırma (Hyper-V/Proxmox), Backup / DR, Ağ / Firewall / VPN, Tedarikçi yönetimi, Microsoft ortamı</t>
  </si>
  <si>
    <t xml:space="preserve">Intune / M365 admin, Scripting / otomasyon (PowerShell vb.), VMware, Programlama</t>
  </si>
  <si>
    <t xml:space="preserve">https://bewerbung.acp-gruppe.com/at</t>
  </si>
  <si>
    <t xml:space="preserve">TNT Personalberatung GmbH</t>
  </si>
  <si>
    <t xml:space="preserve">IT-Spezialist (w/m/d)</t>
  </si>
  <si>
    <t xml:space="preserve">gute Deutschkenntnisse in Wort und Schrift</t>
  </si>
  <si>
    <t xml:space="preserve">https://www.karriere.at/jobs/7869670</t>
  </si>
  <si>
    <t xml:space="preserve">Eine abgeschlossene IT-Ausbildung (z. B. HTL, Lehre, Fachschule oder vergleichbar). Mehrjährige Berufserfahrung in der Systemadministration. Gute Kenntnisse in den Bereichen Client, Server und Netzwerk. Interesse an IT-Security und modernen Infrastruktur-Lösungen. Eine selbstständige, lösungsorientierte und zuverlässige Arbeitsweise. Sehr gute Deutschkenntnisse in Wort und Schrift. Das erwartet Sie: Flexible Arbeits…</t>
  </si>
  <si>
    <t xml:space="preserve">Ağ / Firewall / VPN</t>
  </si>
  <si>
    <t xml:space="preserve">Almanca C1 isteniyor – yine de başvurmak istersen Almanca CV + dil planı (kurs/sertifika) belirt · Personel danışmanı ilanı → danışmanı telefon/e-posta ile ara, diğer açık pozisyonlarını da sor · İletişim: miguel.tejeda@tntpersonal.at</t>
  </si>
  <si>
    <t xml:space="preserve">https://www.karriere.at/f/tnt-personalberatung</t>
  </si>
  <si>
    <t xml:space="preserve">NTS</t>
  </si>
  <si>
    <t xml:space="preserve">Senior Systems Engineer Network &amp; Security (m/w/d)</t>
  </si>
  <si>
    <t xml:space="preserve">Salzburg, Wien, Graz, Linz</t>
  </si>
  <si>
    <t xml:space="preserve">Prioritäten im Incident-, Problem- und Change-Management Sehr gute Deutsch- und Englischkenntnisse in Wort und Schrift Hervorragende Kommunikati</t>
  </si>
  <si>
    <t xml:space="preserve">~€70k+/yıl (ilan: ab 70.000 € jährlich)</t>
  </si>
  <si>
    <t xml:space="preserve">https://www.karriere.at/jobs/7863661</t>
  </si>
  <si>
    <t xml:space="preserve">https://www.linkedin.com/jobs/view/4454189709</t>
  </si>
  <si>
    <t xml:space="preserve">Mehrjährige praktische Erfahrung im Betrieb, Support und der Weiterentwicklung von Netzwerk-Infrastrukturen Fundierte Kenntnisse in Netzwerktechnologien, Routing, Switching, WLAN und TCP/IP (Cisco CCNA oder vergleichbare Kenntnisse) Erfahrung im Betrieb und in der Administration von Firewall-, VPN- und Security-Lösungen, vorzugsweise Palo Alto Kenntnisse im Bereich Network Security, Netzwerksegmentierung und Zugriffs…</t>
  </si>
  <si>
    <t xml:space="preserve">ITIL / ITSM, Ağ / Firewall / VPN, Tedarikçi yönetimi, Ekip liderliği</t>
  </si>
  <si>
    <t xml:space="preserve">Almanca C1 / çok iyi Almanca, ANA ŞART: Ağ üreticisi sertifikası (Cisco/Fortinet/Palo Alto)</t>
  </si>
  <si>
    <t xml:space="preserve">https://www.karriere.at/f/nts</t>
  </si>
  <si>
    <t xml:space="preserve">CANCOM Austria AG</t>
  </si>
  <si>
    <t xml:space="preserve">Senior System Engineer Endpoint Management  (w/m/*)</t>
  </si>
  <si>
    <t xml:space="preserve">Dornbirn, Innsbruck, Klagenfurt, Linz, Raaba-Grambach, Salzburg (Stadt), Wien</t>
  </si>
  <si>
    <t xml:space="preserve">und komplexe Zusammenhänge verständlich zu kommunizieren Sehr gute Deutsch- und Englischkenntnisse in Wort und Schrift, ausgeprägte Kund:innen-</t>
  </si>
  <si>
    <t xml:space="preserve">https://www.karriere.at/jobs/7839929</t>
  </si>
  <si>
    <t xml:space="preserve">und Erfahrung definieren wir dein individuelles Package Deine Aufgaben Beratung im Bereich Endpoint Management, von der Anforderungsanalyse über die Konzeption bis hin zur technischen Umsetzung moderner Client-Management- und Modern-Workplace-Lösungen Bearbeitung von Incidents, Service Requests und Changes im Microsoft Endpoint Management Umfeld sowie Analyse und Behebung komplexer Störungen in Microsoft Intune-, Con…</t>
  </si>
  <si>
    <t xml:space="preserve">ITIL / ITSM, Windows Server, Ağ / Firewall / VPN, Tedarikçi yönetimi, Ekip liderliği, Politika / uyum, Microsoft ortamı</t>
  </si>
  <si>
    <t xml:space="preserve">Almanca C1 / çok iyi Almanca, Azure / Entra ID, ANA ŞART: Intune / M365 admin, Scripting / otomasyon (PowerShell vb.), AI / ML</t>
  </si>
  <si>
    <t xml:space="preserve">https://www.karriere.at/f/cancomaustria</t>
  </si>
  <si>
    <t xml:space="preserve">Presales Consultant Security (w/m/*)</t>
  </si>
  <si>
    <t xml:space="preserve">Leonding, Salzburg (Stadt)</t>
  </si>
  <si>
    <t xml:space="preserve">eine selbstständige und teamorientierte Arbeitsweise Sehr gute Deutsch- und Englischkenntnisse sowie großes Interesse an technischen Sicherh</t>
  </si>
  <si>
    <t xml:space="preserve">https://www.karriere.at/jobs/7873291</t>
  </si>
  <si>
    <t xml:space="preserve">und Erfahrung definieren wir dein individuelles Package Deine Aufgaben Verantwortung für das Design von IT-Sicherheitslösungen sowie deren professionelle Präsentation bei Kund:innen Schnittstelle zwischen Vertrieb und Technik, Analyse der Kundenanforderungen, Beratung zu IT-Sicherheitslösungen und Erstellung maßgeschneiderter Sicherheitskonzepte Enge Abstimmung mit internen Teams zur Entwicklung und Umsetzung von Sic…</t>
  </si>
  <si>
    <t xml:space="preserve">Ağ / Firewall / VPN, Tedarikçi yönetimi, Ekip liderliği</t>
  </si>
  <si>
    <t xml:space="preserve">Almanca C1 / çok iyi Almanca, Ağ üreticisi sertifikası (Cisco/Fortinet/Palo Alto), AI / ML</t>
  </si>
  <si>
    <t xml:space="preserve">TNT Personal</t>
  </si>
  <si>
    <t xml:space="preserve">IT-Spezialist:in</t>
  </si>
  <si>
    <t xml:space="preserve">~€60k+/yıl (ilan metninden)</t>
  </si>
  <si>
    <t xml:space="preserve">2026-09-03</t>
  </si>
  <si>
    <t xml:space="preserve">https://www.linkedin.com/jobs/view/4460493025</t>
  </si>
  <si>
    <t xml:space="preserve">https://at.linkedin.com/company/tnt-personal</t>
  </si>
  <si>
    <t xml:space="preserve">Expert:in Information Security Strategy &amp; Transformation</t>
  </si>
  <si>
    <t xml:space="preserve">https://www.karriere.at/jobs/7868491</t>
  </si>
  <si>
    <t xml:space="preserve">unserer Kund:innen. Entsprechend deiner Erfahrung werden deine Aufgaben nicht nur in der Projektmitarbeit, sondern auch in der Projektleitung liegen. Perpektiven Rasche Übernahme von Projekt-&amp; Führungsverantwortung um die kniffeligsten Herausforderungen unserer Kund:innen im Bereich Information Security Strategy &amp; Transformation zu lösen Aktive Mitgestaltung in der Weiterentwicklung unseres Bereichs Information Secur…</t>
  </si>
  <si>
    <t xml:space="preserve">ITIL / ITSM, Active Directory, Backup / DR, Ağ / Firewall / VPN, Proje yönetimi, Bütçe, Ekip liderliği, Perakende / çok lokasyon</t>
  </si>
  <si>
    <t xml:space="preserve">Almanca C1 / çok iyi Almanca, Azure / Entra ID, Scripting / otomasyon (PowerShell vb.), Container / IaC / DevOps, Programlama, CISSP / CISM / CISA, AWS / GCP, ANA ŞART: AI / ML</t>
  </si>
  <si>
    <t xml:space="preserve">Almanca C1 isteniyor – yine de başvurmak istersen Almanca CV + dil planı (kurs/sertifika) belirt · İletişim: bewerbung@kpmg.at.</t>
  </si>
  <si>
    <t xml:space="preserve">Ginzinger electronic systems GmbH</t>
  </si>
  <si>
    <t xml:space="preserve">IT 1st &amp; 2nd Level Support</t>
  </si>
  <si>
    <t xml:space="preserve">Weng im Innkreis</t>
  </si>
  <si>
    <t xml:space="preserve">Teamfähigkeit, Kommunikationsstärke und Lernbereitschaft Gute Deutschkenntnisse, Englischkenntnisse von Vorteil Wir bieten dir: Wir bieten</t>
  </si>
  <si>
    <t xml:space="preserve">https://www.karriere.at/jobs/10024863</t>
  </si>
  <si>
    <t xml:space="preserve">Abgeschlossene Ausbildung im Bereich IT (z.B. Lehre, HTL oder vergleichbare Qualifikation) Erste Berufserfahrung im IT-Support von Vorteil Gute Kenntnisse in den Bereichen Windows, Microsoft 365, Netzwerke und Hardware Kenntnisse in Linux und im Bereich Visualisierung von Vorteil Strukturierte, selbstständige und serviceorientierte Arbeitsweise Freude am direkten Kontakt mit AnwenderInnen und an der Lösung technisch…</t>
  </si>
  <si>
    <t xml:space="preserve">Windows Server, Ağ / Firewall / VPN, Proje yönetimi, Tedarikçi yönetimi, Microsoft ortamı, Perakende / çok lokasyon</t>
  </si>
  <si>
    <t xml:space="preserve">Intune / M365 admin, Linux</t>
  </si>
  <si>
    <t xml:space="preserve">https://www.karriere.at/f/ginzinger-electronic-systems</t>
  </si>
  <si>
    <t xml:space="preserve">EVER Pharma</t>
  </si>
  <si>
    <t xml:space="preserve">Team Lead Business Solutions, AI &amp; Collaboration (m/w/d)</t>
  </si>
  <si>
    <t xml:space="preserve">Unterach am Attersee</t>
  </si>
  <si>
    <t xml:space="preserve">~€61k+/yıl (ilan: ab 60.977,70 € jährlich)</t>
  </si>
  <si>
    <t xml:space="preserve">https://www.karriere.at/jobs/10029632</t>
  </si>
  <si>
    <t xml:space="preserve">Mehrjährige praktische Berufserfahrung in den IT und Digitalisierungsbereichen Studium Informatik, Wirtschaftsinformatik oder vergleichbarer Ausbildung Sehr gutes Verständnis für Geschäftsprozesse und deren digitale Unterstützung Erste Führungserfahrung oder den klaren Wunsch, ein Team zu führen Sie packen Projekte pragmatisch und lösungsorientiert an Das bieten wir Wir bieten Ihnen ein spannendes, anspruchsvolles un…</t>
  </si>
  <si>
    <t xml:space="preserve">Ekip liderliği, Microsoft ortamı, Perakende / çok lokasyon</t>
  </si>
  <si>
    <t xml:space="preserve">Intune / M365 admin, Scripting / otomasyon (PowerShell vb.), İş uygulaması alanı (CRM/ERP/Legal/ServiceNow…), ANA ŞART: AI / ML</t>
  </si>
  <si>
    <t xml:space="preserve">https://www.karriere.at/f/ever-pharma</t>
  </si>
  <si>
    <t xml:space="preserve">Windhager Home &amp; Garden</t>
  </si>
  <si>
    <t xml:space="preserve">IT SYSTEM ENGINEER (m/w/d)</t>
  </si>
  <si>
    <t xml:space="preserve">Thalgau, Salzburg, Austria</t>
  </si>
  <si>
    <t xml:space="preserve">Arbeitsweise zeichnen Sie aus Sie verfügen über ausgezeichnete Deutsch- und sehr gute Englischkenntnisse Vor allem aber ist es Ihnen ein Anl</t>
  </si>
  <si>
    <t xml:space="preserve">~€45k+/yıl (ilan metninden)</t>
  </si>
  <si>
    <t xml:space="preserve">2026-09-02</t>
  </si>
  <si>
    <t xml:space="preserve">https://www.linkedin.com/jobs/view/4459936185</t>
  </si>
  <si>
    <t xml:space="preserve">und Erfahrung im persönlichen Gespräch festgelegt.…</t>
  </si>
  <si>
    <t xml:space="preserve">Ağ / Firewall / VPN, Microsoft ortamı, Perakende / çok lokasyon</t>
  </si>
  <si>
    <t xml:space="preserve">Almanca C1 / çok iyi Almanca, VMware</t>
  </si>
  <si>
    <t xml:space="preserve">https://at.linkedin.com/company/windhagerhandelsgesmbh</t>
  </si>
  <si>
    <t xml:space="preserve">Wirtschaftskammer Salzburg</t>
  </si>
  <si>
    <t xml:space="preserve">IT Application Manager (m/w/d)</t>
  </si>
  <si>
    <t xml:space="preserve">Uygulama / iş uygulamaları</t>
  </si>
  <si>
    <t xml:space="preserve">für das selbstständige und eigenverantwortliche Arbeiten Gesicherte Deutsch- und Rechtschreibkenntnisse Freude an der Zusammenarbeit im Team sowi</t>
  </si>
  <si>
    <t xml:space="preserve">https://www.karriere.at/jobs/7850054</t>
  </si>
  <si>
    <t xml:space="preserve">und Erfahrung.…</t>
  </si>
  <si>
    <t xml:space="preserve">SQL Server / DB, Proje yönetimi, Tedarikçi yönetimi, Ekip liderliği, Microsoft ortamı</t>
  </si>
  <si>
    <t xml:space="preserve">Programlama, İş uygulaması alanı (CRM/ERP/Legal/ServiceNow…)</t>
  </si>
  <si>
    <t xml:space="preserve">https://www.karriere.at/f/wirtschaftskammer-salzburg</t>
  </si>
  <si>
    <t xml:space="preserve">Salzburg AG für Energie, Verkehr und Telekommunikation</t>
  </si>
  <si>
    <t xml:space="preserve">IT Infrastructure Systems Engineer (all genders)</t>
  </si>
  <si>
    <t xml:space="preserve">sowie Eigeninitiative und Entscheidungskompetenz Sehr gute Deutsch‑ und Englischkenntnisse Wir bieten Vielfältiges und abwechslungsreich</t>
  </si>
  <si>
    <t xml:space="preserve">~€55k+/yıl (ilan: ab 3.927,14 € monatlich)</t>
  </si>
  <si>
    <t xml:space="preserve">https://www.karriere.at/jobs/7847861</t>
  </si>
  <si>
    <t xml:space="preserve">von heute und morgen. Aufgabenbereich Betrieb, Ausbau und kontinuierliche Weiterentwicklung unserer hochverfügbaren IT‑Infrastruktur End‑to‑End‑Verantwortung (Service Ownership) für zentrale IT-Infrastruktur‑Services, insbesondere: Windows Server Services (On‑Premises &amp; Microsoft Azure) Active Directory / EntraID Virtuelle Desktop‑Infrastruktur &amp; Remote‑Access‑Lösungen Zentrale Virtualisierungsplattformen (VMware vSp…</t>
  </si>
  <si>
    <t xml:space="preserve">ITIL / ITSM, Active Directory, Windows Server, Sanallaştırma (Hyper-V/Proxmox), Ekip liderliği, Microsoft ortamı</t>
  </si>
  <si>
    <t xml:space="preserve">Almanca C1 / çok iyi Almanca, ANA ŞART: Azure / Entra ID, VMware</t>
  </si>
  <si>
    <t xml:space="preserve">https://www.karriere.at/f/salzburg-f%C3%BCr-energie-verkehr-und-telekommunikation</t>
  </si>
  <si>
    <t xml:space="preserve">Devops Engineer mit Security-Schwerpunkt (w/m/d)</t>
  </si>
  <si>
    <t xml:space="preserve">Linz, Steyr, Salzburg, Wels, Wien</t>
  </si>
  <si>
    <t xml:space="preserve">hast du schon selbst konfiguriert oder debuggt Du kannst dich auf Deutsch und Englisch problemlos mit Kolleg:innen im Ausland und externen Part</t>
  </si>
  <si>
    <t xml:space="preserve">~€55k+/yıl (ilan: 3.900 € – 4.900 € monatlich)</t>
  </si>
  <si>
    <t xml:space="preserve">https://www.karriere.at/jobs/7864984</t>
  </si>
  <si>
    <t xml:space="preserve">&amp; Berufserfahrung zwischen EUR 3900 und EUR 4900 brutto / Monat (auf Vollzeitbasis). Klingt interessant? Am besten JETZT BEWERBEN und mehr über diese Position erfahren! Sollte es vorab Fragen geben, freut sich Verena Herrmann v.herrmann@kern-partner.at auf die Kontaktaufnahme. Jetzt Bewerben…</t>
  </si>
  <si>
    <t xml:space="preserve">Ağ / Firewall / VPN, Politika / uyum</t>
  </si>
  <si>
    <t xml:space="preserve">Azure / Entra ID, ANA ŞART: Container / IaC / DevOps</t>
  </si>
  <si>
    <t xml:space="preserve">Almanca CV ile başvur; İngilizce yeterliliğini ve Almanca B1/B2'yi açıkça yaz · Personel danışmanı ilanı → danışmanı telefon/e-posta ile ara, diğer açık pozisyonlarını da sor · İletişim: v.herrmann@kern-partner.at</t>
  </si>
  <si>
    <t xml:space="preserve">Techlead Database Platform (m/w/d)</t>
  </si>
  <si>
    <t xml:space="preserve">Veritabanı</t>
  </si>
  <si>
    <t xml:space="preserve">eng mit Fachbereichen und Infrastruktur-Teams zusammen Sehr guten Deutsch- und Englischkenntnissen Darauf kannst du dich freuen Arbeiten mit st</t>
  </si>
  <si>
    <t xml:space="preserve">~€35k+/yıl (ilan: ab 35.000 € jährlich)</t>
  </si>
  <si>
    <t xml:space="preserve">https://www.karriere.at/jobs/7868917</t>
  </si>
  <si>
    <t xml:space="preserve">https://www.linkedin.com/jobs/view/4454710752</t>
  </si>
  <si>
    <t xml:space="preserve">Techlead Database Platform (m/w/d) Wir sind das "I" und "T" in Retail... Dienstort: Salzburg, Wernberg, Wien Ausmaß: Vollzeit SPAR ICS ist die IT-Gesellschaft der SPAR Österreich-Gruppe und kümmert sich um sämtliche IT-Belange von SPAR, INTERSPAR und SES Spar European Shopping Centers. Wir sind über 700 kluge Köpfe und haben zwei Agenden: Das reibungslose Einkaufserlebnis aller SPAR-Kund:innen in 5 Ländern und die di…</t>
  </si>
  <si>
    <t xml:space="preserve">Ağ / Firewall / VPN, SQL Server / DB, Tedarikçi yönetimi, Microsoft ortamı, Perakende / çok lokasyon</t>
  </si>
  <si>
    <t xml:space="preserve">Almanca C1 / çok iyi Almanca, Oracle</t>
  </si>
  <si>
    <t xml:space="preserve">Lenzing AG</t>
  </si>
  <si>
    <t xml:space="preserve">IT Field Service Engineer (m/w/d)</t>
  </si>
  <si>
    <t xml:space="preserve">Lenzing</t>
  </si>
  <si>
    <t xml:space="preserve">~€49k+/yıl (ilan: ab 3.500 € monatlich)</t>
  </si>
  <si>
    <t xml:space="preserve">https://www.karriere.at/jobs/7878931</t>
  </si>
  <si>
    <t xml:space="preserve">und positionsrelevanten Berufserfahrung ist unsere Bereitschaft zur Überzahlung gegeben. Darüber hinaus nehmen Sie am Lenzing Bonussystem teil. Nutzen Sie diese Chance und gestalten Sie den Erfolg der Lenzing Gruppe mit! Ich freue mich über Ihre elektronische Onlinebewerbung. Ihr Ansprechpartner bei Fragen: Mag. Birgit Jedinger…</t>
  </si>
  <si>
    <t xml:space="preserve">https://www.karriere.at/f/lenzing</t>
  </si>
  <si>
    <t xml:space="preserve">Security Awareness Specialist (m/w/d)</t>
  </si>
  <si>
    <t xml:space="preserve">und hohes Maß an Verantwortungsbewusstsein Sehr gute Deutsch- und Englischkenntnisse in Wort und Schrift Deine Benefits</t>
  </si>
  <si>
    <t xml:space="preserve">~€46k+/yıl (ilan: 3.300 € – 4.000 € monatlich)</t>
  </si>
  <si>
    <t xml:space="preserve">https://www.karriere.at/jobs/10033437</t>
  </si>
  <si>
    <t xml:space="preserve">und Erfahrung bewegt sich dein monatliches Bruttogehalt zwischen EUR 3.300,- und EUR 4.000,- 3.300 EUR 4.000 EUR Benefits Aus- und Weiterbildung Die Zukunft der Healthcare-IT kann man nur gestalten, wenn man immer up-to-date bleibt. Darum ermöglichen wir dir gerne individuelle Aus- und Weiterbildungen, Seminare und Schulungen. Die Zukunft der Healthcare-IT kann man nur gestalten, wenn man immer up-to-date bleibt. Dar…</t>
  </si>
  <si>
    <t xml:space="preserve">Perakende / çok lokasyon</t>
  </si>
  <si>
    <t xml:space="preserve">Simplify Hospitality GmbH</t>
  </si>
  <si>
    <t xml:space="preserve">Support Specialist (m/w/d)</t>
  </si>
  <si>
    <t xml:space="preserve">Salzburg (Stadt), Wien 4. Bezirk (Wieden)</t>
  </si>
  <si>
    <t xml:space="preserve">lösungsorientierte und zuverlässige Arbeitsweise Fließende Deutschkenntnisse in Wort und Schrift Lernbereitschaft und Interesse an Softw</t>
  </si>
  <si>
    <t xml:space="preserve">Sadece KV asgarisi: ~€37k/yıl (ab 2.676 € monatlich) – gerçek maaş belirtilmemiş, genelde üstünde</t>
  </si>
  <si>
    <t xml:space="preserve">2026-09-11</t>
  </si>
  <si>
    <t xml:space="preserve">https://www.karriere.at/jobs/10032590</t>
  </si>
  <si>
    <t xml:space="preserve">Technische Ausbildung oder vergleichbare praktische Erfahrung Erfahrung im Kundenservice, Anwendersupport oder technischen Support Freude daran, komplexe Sachverhalte verständlich zu erklären Strukturierte, lösungsorientierte und zuverlässige Arbeitsweise Fließende Deutschkenntnisse in Wort und Schrift Lernbereitschaft und Interesse an Software und technischen Zusammenhängen Serviceorientierung und einen ruhigen Umga…</t>
  </si>
  <si>
    <t xml:space="preserve">https://www.karriere.at/f/gastrodat</t>
  </si>
  <si>
    <t xml:space="preserve">Internal Control System (ICS) Specialist*</t>
  </si>
  <si>
    <t xml:space="preserve">Mattighofen, Upper Austria, Austria</t>
  </si>
  <si>
    <t xml:space="preserve">Risk / uyum / iç kontrol</t>
  </si>
  <si>
    <t xml:space="preserve">insbesondere Excel und PowerPoint ausgezeichnete Deutsch- und verhandlungssichere Englischkenntnisse ausgeprägte analytische u</t>
  </si>
  <si>
    <t xml:space="preserve">~€57k+/yıl (ilan metninden)</t>
  </si>
  <si>
    <t xml:space="preserve">https://www.linkedin.com/jobs/view/4465016911</t>
  </si>
  <si>
    <t xml:space="preserve">und Best Practices Unterstützung bei der Durchführung von internen Audits und Sonderprüfungen Erstellung aussagekräftiger Berichte und Management-Reports für Vorstand und Führungskräfte Ansprechpartner für interne und externe Prüfer im Zusammenhang mit IKS- und Audit-Themen Dein Profil abgeschlossenes Studium der Betriebswirtschaft, Wirtschaftswissenschaften, Wirtschaftsprüfung, Finance, Risikomanagement oder verglei…</t>
  </si>
  <si>
    <t xml:space="preserve">Ekip liderliği, Risk yönetimi, Politika / uyum, Denetim / audit, Microsoft ortamı</t>
  </si>
  <si>
    <t xml:space="preserve">https://at.linkedin.com/company/ktm-ag</t>
  </si>
  <si>
    <t xml:space="preserve">Salzburger Festspielfonds</t>
  </si>
  <si>
    <t xml:space="preserve">IT System Administrator – Schwerpunkt Netzwerk und Sicherheit (m/w/d)</t>
  </si>
  <si>
    <t xml:space="preserve">gute Deutschkenntnisse in Wort und Schrift sowie gute Englischkenntnisse</t>
  </si>
  <si>
    <t xml:space="preserve">~€52k+/yıl (ilan: ab 3.699 € monatlich)</t>
  </si>
  <si>
    <t xml:space="preserve">https://www.karriere.at/jobs/10031930</t>
  </si>
  <si>
    <t xml:space="preserve">Abgeschlossene technische Ausbildung (IT-Lehre), Studium im Bereich Informatik, Netzwerktechnik, IT-Security (FH oder Universität), oder eine vergleichbare Qualifikation mit entsprechender Berufserfahrung; Fundierte Kenntnisse in der Konfiguration und Administration von Switches, Routern und Firewalls, vorzugsweise mit Cisco- und Fortinet-Technologien; Mindestens fünf Jahre einschlägige Berufserfahrung in einer verg…</t>
  </si>
  <si>
    <t xml:space="preserve">Ağ / Firewall / VPN, Proje yönetimi, Ekip liderliği, Perakende / çok lokasyon</t>
  </si>
  <si>
    <t xml:space="preserve">https://www.karriere.at/f/salzburger-festspielfonds</t>
  </si>
  <si>
    <t xml:space="preserve">IT System Administrator (w/m/x)</t>
  </si>
  <si>
    <t xml:space="preserve">gute Deutsch- und gute Englischkenntnisse</t>
  </si>
  <si>
    <t xml:space="preserve">~€49k+/yıl (ilan: 3.500 € – 4.200 € monatlich)</t>
  </si>
  <si>
    <t xml:space="preserve">https://www.karriere.at/jobs/7785812</t>
  </si>
  <si>
    <t xml:space="preserve">&amp; Erfahrung zwischen 3.500 EUR und 4.200 EUR brutto / Monat (auf Vollzeitbasis). Brutto Netto Rechner Das Unternehmen Unser Kunde ist die österreichische Einheit eines international tätigen Konzerns und zählt zu den weltweit führenden Anbietern von Lösungen im Pool- und Wellnessbereich. Die österreichische Einheit agiert als spezialisierter Großhändler und Partner für den Fachhandel und bietet ein breites Portfolio a…</t>
  </si>
  <si>
    <t xml:space="preserve">Tedarikçi yönetimi, Ekip liderliği, Perakende / çok lokasyon</t>
  </si>
  <si>
    <t xml:space="preserve">Almanca C1 / çok iyi Almanca, ANA ŞART: İş uygulaması alanı (CRM/ERP/Legal/ServiceNow…)</t>
  </si>
  <si>
    <t xml:space="preserve">Senior Cybersecurity Analyst (m/w/d)</t>
  </si>
  <si>
    <t xml:space="preserve">Arbeitsweise sowie ausgeprägte Kommunikationsfähigkeiten in Deutsch und Englisch Deine Benefits</t>
  </si>
  <si>
    <t xml:space="preserve">~€56k+/yıl (ilan: 4.000 € – 5.200 € monatlich)</t>
  </si>
  <si>
    <t xml:space="preserve">https://www.karriere.at/jobs/10030769</t>
  </si>
  <si>
    <t xml:space="preserve">sowie mehrjährige Erfahrung im Bereich Security Operations, SOC oder Incident Response Fundierte praktische Erfahrung in der Analyse und Bearbeitung von Security Incidents in einem SOC-Umfeld Sehr gutes Verständnis von Angriffsvektoren, TTPs und gängigen Bedrohungsszenarien sowie Erfahrung mit Frameworks wie MITRE ATT&amp;CK Erfahrung mit SIEM- und Security-Tools (z. B. Elastic Security) sowie sicherer Umgang mit Loganal…</t>
  </si>
  <si>
    <t xml:space="preserve">ITIL / ITSM, Windows Server, Backup / DR, Ağ / Firewall / VPN, Ekip liderliği, Perakende / çok lokasyon</t>
  </si>
  <si>
    <t xml:space="preserve">ANA ŞART: Scripting / otomasyon (PowerShell vb.), Linux, ANA ŞART: SIEM / SOC / EDR</t>
  </si>
  <si>
    <t xml:space="preserve">Senior Operations Workplace Engineer m, w, d</t>
  </si>
  <si>
    <t xml:space="preserve">gute Deutsch- und Englischkenntnisse sowie die Fähigkeit, technische Inhalte klar</t>
  </si>
  <si>
    <t xml:space="preserve">https://www.karriere.at/jobs/7839089</t>
  </si>
  <si>
    <t xml:space="preserve">https://bewerbung.acp-gruppe.com/at/rx/1178</t>
  </si>
  <si>
    <t xml:space="preserve">Mehrjährige Erfahrung in Microsoft Intune, Endpoint Manager und Microsoft 365, inklusive Architektur, Automatisierung und komplexen Konfigurationen. Fundierte Kenntnisse in Windows Deployment, Autopilot, Security Policies sowie PowerShell‑Automatisierung. Umfangreiche Erfahrung in der Verwaltung und Absicherung von iOS- und Android-Geräten über Intune, inklusive App‑Management und Compliance‑Konzepten. Fähigkeit, kom…</t>
  </si>
  <si>
    <t xml:space="preserve">Windows Server, Tedarikçi yönetimi, Ekip liderliği, Politika / uyum, Microsoft ortamı</t>
  </si>
  <si>
    <t xml:space="preserve">Almanca C1 / çok iyi Almanca, ANA ŞART: Intune / M365 admin, ANA ŞART: Scripting / otomasyon (PowerShell vb.)</t>
  </si>
  <si>
    <t xml:space="preserve">Otto Austria Group</t>
  </si>
  <si>
    <t xml:space="preserve">Release &amp; Change Manager (m/w/x) – Microsoft Dynamics 365 Business Central</t>
  </si>
  <si>
    <t xml:space="preserve">Deutschkenntnisse für die Abstimmung mit unseren internen Stakeholdern</t>
  </si>
  <si>
    <t xml:space="preserve">Sadece KV asgarisi: ~€35k/yıl (ilan metni) – gerçek maaş belirtilmemiş, genelde üstünde</t>
  </si>
  <si>
    <t xml:space="preserve">2026-09-17</t>
  </si>
  <si>
    <t xml:space="preserve">https://www.linkedin.com/jobs/view/4467166977</t>
  </si>
  <si>
    <t xml:space="preserve">im Dynamics 365 BC-Umfeld vorzubereiten. Releasemanagement: Du planst, koordinierst und überwachst die Bereitstellung neuer Funktionen und Updates über verschiedene Umgebungen hinweg (DEV, STAGE, Produktion). Testmanagement: Du definierst geeignete Testverfahren, planst und kontrollierst die Testdurchführung und sicherst so die hohe Qualität unserer Softwarefunktionen. Stakeholder-Management: Du bist die zentrale Sch…</t>
  </si>
  <si>
    <t xml:space="preserve">ITIL / ITSM, Tedarikçi yönetimi, Ekip liderliği, Microsoft ortamı, Perakende / çok lokasyon</t>
  </si>
  <si>
    <t xml:space="preserve">https://at.linkedin.com/company/ottoaustriagroup</t>
  </si>
  <si>
    <t xml:space="preserve">BWT Holding GmbH</t>
  </si>
  <si>
    <t xml:space="preserve">IT Service Desk Engineer (m/w/d)</t>
  </si>
  <si>
    <t xml:space="preserve">Mondsee, Raum Salzburg</t>
  </si>
  <si>
    <t xml:space="preserve">Windows Client Betriebssystem, Azure Cloud von Vorteil) Sehr gute Deutsch- und Englischkenntnisse in Wort und Schrift Kommunikative und selbsts</t>
  </si>
  <si>
    <t xml:space="preserve">~€41k+/yıl (ilan: ab 41.300 € jährlich)</t>
  </si>
  <si>
    <t xml:space="preserve">https://www.karriere.at/jobs/7864783</t>
  </si>
  <si>
    <t xml:space="preserve">https://www.linkedin.com/jobs/view/4457605563</t>
  </si>
  <si>
    <t xml:space="preserve">Technische Ausbildung (Lehre, HTL, FH/Uni) mit Schwerpunkt IT oder Quereinsteiger mit mehreren Jahren Berufserfahrung Sorgfältige, strukturierte und selbständige Arbeitsweise Begeisterungsfähigkeit für technische Herausforderungen und hohe Einsatzbereitschaft Gute Kenntnisse im Microsoft-Umfeld (z.B. Windows Server, Active Directory, Windows Client Betriebssystem, Azure Cloud von Vorteil) Sehr gute Deutsch- und Engli…</t>
  </si>
  <si>
    <t xml:space="preserve">Active Directory, Windows Server, Microsoft ortamı, Perakende / çok lokasyon</t>
  </si>
  <si>
    <t xml:space="preserve">Almanca C1 / çok iyi Almanca, Azure / Entra ID</t>
  </si>
  <si>
    <t xml:space="preserve">https://www.karriere.at/f/bwt-holding-gmbh</t>
  </si>
  <si>
    <t xml:space="preserve">Vesterling AG</t>
  </si>
  <si>
    <t xml:space="preserve">EntraID - Administrator | Microsoft Exchange, Active Directory, Mittelstand | Inhouse (mwd)</t>
  </si>
  <si>
    <t xml:space="preserve">Braunau am Inn, Upper Austria, Austria</t>
  </si>
  <si>
    <t xml:space="preserve">Profil Mehrjährige Berufserfahrung im Umfeld von EntraID Gute Deutsch- und Englischkenntnisse Benefits Die Philosophie unseres Kunden laute</t>
  </si>
  <si>
    <t xml:space="preserve">https://www.linkedin.com/jobs/view/4079343035</t>
  </si>
  <si>
    <t xml:space="preserve">Mehrjährige Berufserfahrung im Umfeld von EntraID Gute Deutsch- und Englischkenntnisse Benefits Die Philosophie unseres Kunden lautet "erfinden - innovieren - umsetzen". Unzählige Erfindungen und Patente zeugen vom Erfindergeist und der Innovationskraft des Unternehmens. Die Weiterentwicklung der Technologie hat oberste Priorität, um gemeinsam mit den Kunden des Unternehmens auf dem Markt erfolgreich zu sein. Zufried…</t>
  </si>
  <si>
    <t xml:space="preserve">Active Directory, Windows Server, Tedarikçi yönetimi, Microsoft ortamı</t>
  </si>
  <si>
    <t xml:space="preserve">Azure / Entra ID</t>
  </si>
  <si>
    <t xml:space="preserve">Almanca CV ile başvur; İngilizce yeterliliğini ve Almanca B1/B2'yi açıkça yaz · Personel danışmanı ilanı → danışmanı telefon/e-posta ile ara, diğer açık pozisyonlarını da sor</t>
  </si>
  <si>
    <t xml:space="preserve">https://de.linkedin.com/company/vesterling</t>
  </si>
  <si>
    <t xml:space="preserve">SCRI-LIMCR gem. GmbH</t>
  </si>
  <si>
    <t xml:space="preserve">IT Systems &amp; Database Administrator (m/w/d) 20 Stunden</t>
  </si>
  <si>
    <t xml:space="preserve">Innsbruck, Salzburg (Stadt)</t>
  </si>
  <si>
    <t xml:space="preserve">Yarı zamanlı (20 saat)</t>
  </si>
  <si>
    <t xml:space="preserve">~€24k+/yıl (ilan: ab 1.700 € monatlich)</t>
  </si>
  <si>
    <t xml:space="preserve">https://www.karriere.at/jobs/10028895</t>
  </si>
  <si>
    <t xml:space="preserve">Ausbildung: Abgeschlossene technische Ausbildung (HTL, Fachschule oder Lehre mit einschlägiger Berufserfahrung). Erfahrung: Mindestens 2-3 Jahre Praxis in der Systemadministration oder im Datenbankumfeld. Tech-Stack: Sicherer Umgang mit Datenbank-Abfragen (SQL), Backup-Lösungen sowie gängigen Windows- und Office-Umgebungen. Persönlichkeit: Sie bewahren auch bei komplexen Support-Anfragen einen kühlen Kopf und arbeite…</t>
  </si>
  <si>
    <t xml:space="preserve">Windows Server, Backup / DR, SQL Server / DB, Politika / uyum, Denetim / audit, Perakende / çok lokasyon</t>
  </si>
  <si>
    <t xml:space="preserve">Oracle</t>
  </si>
  <si>
    <t xml:space="preserve">https://www.karriere.at/f/scri-limcr-gem</t>
  </si>
  <si>
    <t xml:space="preserve">Career Advisor</t>
  </si>
  <si>
    <t xml:space="preserve">IT-Systemtechniker / Microsoft-Umgebung (m/w/d)</t>
  </si>
  <si>
    <t xml:space="preserve">und Hands-on-Mentalität Freude am Austausch im Team Sehr gute Deutschkenntnisse sowie gutes Englisch Das erwartet dich Moderne Technologien</t>
  </si>
  <si>
    <t xml:space="preserve">https://www.linkedin.com/jobs/view/4467812372</t>
  </si>
  <si>
    <t xml:space="preserve">Abgeschlossene IT-Ausbildung (Lehre, Fachschule, HTL oder vergleichbar) Mehrjährige Erfahrung im IT-Betrieb, in der Systemadministration oder im Infrastructure Engineering Sehr gutes Know-how in Microsoft-Technologien: Windows Server &amp; Windows Client Active Directory / Azure AD Microsoft 365 Exchange, Teams, SharePoint Installation, Konfiguration &amp; Administration moderner Microsoft-Umgebungen Strukturierte und lösung…</t>
  </si>
  <si>
    <t xml:space="preserve">Active Directory, Windows Server, Microsoft ortamı</t>
  </si>
  <si>
    <t xml:space="preserve">Almanca C1 / çok iyi Almanca, Azure / Entra ID, ANA ŞART: Intune / M365 admin</t>
  </si>
  <si>
    <t xml:space="preserve">https://ro.linkedin.com/company/career-advisor</t>
  </si>
  <si>
    <t xml:space="preserve">IT Architect and Consultant (m/w/d)</t>
  </si>
  <si>
    <t xml:space="preserve">Dornbirn, Innsbruck, Klagenfurt am Wörthersee, Salzburg, Wien, Graz, Linz</t>
  </si>
  <si>
    <t xml:space="preserve">und Teamfähigkeit Sie verfügen über sehr gute Deutsch- &amp; gute Englischkenntnisse in Wort und Schrift Angebot Die Mitarbeit</t>
  </si>
  <si>
    <t xml:space="preserve">https://www.karriere.at/jobs/7876942</t>
  </si>
  <si>
    <t xml:space="preserve">https://www.linkedin.com/jobs/view/4466532375</t>
  </si>
  <si>
    <t xml:space="preserve">und Berufserfahrung sind wir zu einer Überzahlung bereit. Jetzt bewerben und Teil unseres Teams werden! Gleich bewerben » Dornbirn, Innsbruck, Klagenfurt am Wörthersee, Salzburg, Wien, Graz, Linz » Vollzeit GROW » Aus- und Weiterbildungsangebote » NTS Campus » Individuelle Karrierepfade » Zertifizierungen SOCIAL » Events » Vergünstigungen &amp; Prämien » Mentor*innenprogramm » Coaching RELAX » Shiatsu » Jobbike » Getränk…</t>
  </si>
  <si>
    <t xml:space="preserve">ISO 27001 / ISMS, Ağ / Firewall / VPN, Ekip liderliği, Politika / uyum</t>
  </si>
  <si>
    <t xml:space="preserve">Almanca C1 / çok iyi Almanca, NIS-2 / DORA / TISAX, OT / SCADA güvenliği, AI / ML</t>
  </si>
  <si>
    <t xml:space="preserve">IT Support Engineer (w/m/d)</t>
  </si>
  <si>
    <t xml:space="preserve">Linz-Land, Graz, Salzburg</t>
  </si>
  <si>
    <t xml:space="preserve">strukturiert und lösungsorientiert Du verfügst über sehr gute Deutsch - und Englischkenntnisse in Wort und Schrift Gegenüber den Kund:innen</t>
  </si>
  <si>
    <t xml:space="preserve">Sadece KV asgarisi: ~€41k/yıl (2.900 € – 3.500 € monatlich) – gerçek maaş belirtilmemiş, genelde üstünde</t>
  </si>
  <si>
    <t xml:space="preserve">https://www.karriere.at/jobs/7852112</t>
  </si>
  <si>
    <t xml:space="preserve">https://www.karriere.at/jobs/7877971</t>
  </si>
  <si>
    <t xml:space="preserve">&amp; Berufserfahrung zwischen EUR 2900 und EUR 3500 brutto / Monat (auf Vollzeitbasis). Klingt interessant? Am besten JETZT BEWERBEN und mehr über diese Position erfahren! Sollte es vorab Fragen geben, freut sich Verena Herrmann v.herrmann@kern-partner.at auf die Kontaktaufnahme. Jetzt Bewerben…</t>
  </si>
  <si>
    <t xml:space="preserve">Almanca C1 isteniyor – yine de başvurmak istersen Almanca CV + dil planı (kurs/sertifika) belirt · Personel danışmanı ilanı → danışmanı telefon/e-posta ile ara, diğer açık pozisyonlarını da sor · İletişim: v.herrmann@kern-partner.at</t>
  </si>
  <si>
    <t xml:space="preserve">Service Desk Mitarbeiter (w/m/d)</t>
  </si>
  <si>
    <t xml:space="preserve">in Netzwerken, Servern und Betriebssystemen ausgezeichnete Deutsch- und sehr gute Englischkenntnisse Mitarbeit bei diversen IT-Projekten</t>
  </si>
  <si>
    <t xml:space="preserve">https://www.linkedin.com/jobs/view/4471875916</t>
  </si>
  <si>
    <t xml:space="preserve">Abgeschlossene Ausbildung, Studium oder eine Umschulung im Bereich Informatik Berufserfahrung in diesem Bereich von Vorteil Technisches Verständnis von Hard- und Software Grundkenntnisse in Netzwerken, Servern und Betriebssystemen ausgezeichnete Deutsch- und sehr gute Englischkenntnisse Mitarbeit bei diversen IT-Projekten Benefits Geboten wird eine langfristige Perspektive in einem wirtschaftlich äußerst stabilen Umf…</t>
  </si>
  <si>
    <t xml:space="preserve">Ağ / Firewall / VPN, SQL Server / DB</t>
  </si>
  <si>
    <t xml:space="preserve">IT Onsite Client Support 1st &amp; 2nd  Level</t>
  </si>
  <si>
    <t xml:space="preserve">Ranshofen</t>
  </si>
  <si>
    <t xml:space="preserve">&amp; Englisch Unser Angebot Es erwartet dich eine verantwortungsvolle Tä</t>
  </si>
  <si>
    <t xml:space="preserve">https://www.karriere.at/jobs/7830557</t>
  </si>
  <si>
    <t xml:space="preserve">Eine abgeschlossene IT-Ausbildung oder entsprechende Berufserfahrung im IT-Support Gute Kenntnisse in den gängigen Betriebssystemen (Windows, iOS, Android) und im Bereich Client-Hardware Eine strukturierte, zuverlässige Arbeitsweise und Freude am direkten Kundenkontakt Präsenz-Mentalität: Du schätzt den direkten Austausch im Team und die Arbeit vor Ort beim Kunden. Führerschein B Sprache: Deutsch &amp; Englisch Unser Ang…</t>
  </si>
  <si>
    <t xml:space="preserve">Windows Server, Tedarikçi yönetimi, Perakende / çok lokasyon</t>
  </si>
  <si>
    <t xml:space="preserve">Hemmersbach</t>
  </si>
  <si>
    <t xml:space="preserve">Onsite IT-Support 2nd Level (m/w/d) - Eggelsberg</t>
  </si>
  <si>
    <t xml:space="preserve">Eggelsberg, Upper Austria, Austria</t>
  </si>
  <si>
    <t xml:space="preserve">Kommunikationsfähigkeiten in Deutsch und Englisch (mit IT-Schwerpunkt) Führerschein der Klasse B Allrounde</t>
  </si>
  <si>
    <t xml:space="preserve">https://www.linkedin.com/jobs/view/4443244554</t>
  </si>
  <si>
    <t xml:space="preserve">gute Kommunikationsfähigkeiten in Deutsch und Englisch (mit IT-Schwerpunkt) Führerschein der Klasse B Allrounder Kenntnisse im Bereich Hardware und Software Quereinsteiger mit 2 bis 4 Jahren Berufserfahrung in der IT oder abgeschlossene IT-spezifische Ausbildung (Lehre, HTL, Studium/Fachhochschule) Erfahrungen mit Snow/ServiceNow sind von Vorteil Freundliches, verständnisvolles und gepflegtes Auftreten Erfahrung mit…</t>
  </si>
  <si>
    <t xml:space="preserve">Active Directory, Windows Server, Ağ / Firewall / VPN, Microsoft ortamı</t>
  </si>
  <si>
    <t xml:space="preserve">Intune / M365 admin, İş uygulaması alanı (CRM/ERP/Legal/ServiceNow…)</t>
  </si>
  <si>
    <t xml:space="preserve">https://de.linkedin.com/company/hemmersbach</t>
  </si>
  <si>
    <t xml:space="preserve">Standout GmbH</t>
  </si>
  <si>
    <t xml:space="preserve">ERP Application Manager (m/w/d)</t>
  </si>
  <si>
    <t xml:space="preserve">CAD - Anwendungskenntnisse wünschenswert Sehr gute Deutschkenntnisse und gute Englischkenntnisse Kommunikative und proaktive Per</t>
  </si>
  <si>
    <t xml:space="preserve">https://www.karriere.at/jobs/10031586</t>
  </si>
  <si>
    <t xml:space="preserve">, einschlägiger Berufserfahrung und anrechenbaren Vordienstzeiten besteht eine deutliche Bereitschaft zur Überzahlung. KV Mindestgehalt 2.528,04 EUR Benefits Aus- und Weiterbildung Home Office Gute Anbindung Parkplatz Kantine Essenszulage Alle Benefits anzeigen Weniger Benefits anzeigen Aus- und Weiterbildung Home Office Gute Anbindung Parkplatz Kantine Essenszulage Alle Benefits anzeigen Weniger Benefits anzeigen We…</t>
  </si>
  <si>
    <t xml:space="preserve">SQL Server / DB, Proje yönetimi, Tedarikçi yönetimi, Ekip liderliği, Perakende / çok lokasyon</t>
  </si>
  <si>
    <t xml:space="preserve">https://www.karriere.at/f/standout-gmbh</t>
  </si>
  <si>
    <t xml:space="preserve">Senior Spezialist:in Cybersecurity Beratung</t>
  </si>
  <si>
    <t xml:space="preserve">Wien, Graz, Innsbruck, Klagenfurt, Linz, Salzburg</t>
  </si>
  <si>
    <t xml:space="preserve">Sehr gute Deutsch- und Englischkenntnisse in Wort und Schrift Reisebereitschaft (primär</t>
  </si>
  <si>
    <t xml:space="preserve">https://www.karriere.at/jobs/7879333</t>
  </si>
  <si>
    <t xml:space="preserve">und Berufserfahrung besteht die Bereitschaft zur Überzahlung. Weiters kannst du mit einer leistungsabhängigen, individuellen Prämie rechnen. Kontakt Kontaktdaten Recruiter:innen: Schäfler Jasmin:+43 (664) 2101840 Unsere Benefits Afterwork &amp; Firmenfeiern Ausbildung Betriebsrestaurant Diversity Ermäßigungen Fitnesscenterzuschuss Flexible Arbeitszeiten Freizeitclubs Gesundheit &amp; Wohlbefinden Homeoffice Leasing-Fahrrad Ö…</t>
  </si>
  <si>
    <t xml:space="preserve">ISO 27001 / ISMS, ITIL / ITSM, Proje yönetimi, Ekip liderliği, Denetim / audit, Perakende / çok lokasyon</t>
  </si>
  <si>
    <t xml:space="preserve">Almanca C1 / çok iyi Almanca, Scripting / otomasyon (PowerShell vb.), Linux, Container / IaC / DevOps, Programlama, CISSP / CISM / CISA, OT / SCADA güvenliği, Pentest, ANA ŞART: AI / ML</t>
  </si>
  <si>
    <t xml:space="preserve">Peneder Unternehmensgruppe</t>
  </si>
  <si>
    <t xml:space="preserve">IT-Infrastruktur Engineer / System Engineer 3rd Level</t>
  </si>
  <si>
    <t xml:space="preserve">Atzbach</t>
  </si>
  <si>
    <t xml:space="preserve">voranzutreiben und nachhaltige Lösungen zu entwickeln Sehr gute Deutschkenntnisse in Wort und Schrift, gute Englischkenntnisse Führerschein B</t>
  </si>
  <si>
    <t xml:space="preserve">~€56k+/yıl (ilan: ab 4.000 € monatlich)</t>
  </si>
  <si>
    <t xml:space="preserve">https://www.karriere.at/jobs/7875835</t>
  </si>
  <si>
    <t xml:space="preserve">https://www.linkedin.com/jobs/view/4466158169</t>
  </si>
  <si>
    <t xml:space="preserve">Mehrjährige Berufserfahrung in der Administration und Betreuung von IT-Infrastrukturen Sehr gute Kenntnisse in Windows Server, Active Directory, Microsoft 365 und PowerShell Fundierte Kenntnisse in Netzwerkadministration, TCP/IP, VLAN, Routing, Firewalls, VPN und WLAN Gute Kenntnisse in Virtualisierung, Storage-, Backup- und Recovery-Lösungen Know-how in IT-Sicherheit, Monitoring, Patchmanagement und Hochverfügbarkei…</t>
  </si>
  <si>
    <t xml:space="preserve">Active Directory, Windows Server, Sanallaştırma (Hyper-V/Proxmox), Backup / DR, Ağ / Firewall / VPN, Microsoft ortamı, Perakende / çok lokasyon</t>
  </si>
  <si>
    <t xml:space="preserve">Almanca C1 / çok iyi Almanca, Intune / M365 admin, Scripting / otomasyon (PowerShell vb.)</t>
  </si>
  <si>
    <t xml:space="preserve">https://www.karriere.at/f/peneder-unternehmensgruppe</t>
  </si>
  <si>
    <t xml:space="preserve">ÖWD Security &amp; Services</t>
  </si>
  <si>
    <t xml:space="preserve">IT-Administrator &amp; Systembetreuer (m/w/d)</t>
  </si>
  <si>
    <t xml:space="preserve">Arbeitsweise mit analytischen Fähigkeiten Sehr gute Deutsch- und Englischkenntnisse Jetzt bewerben</t>
  </si>
  <si>
    <t xml:space="preserve">https://www.karriere.at/jobs/7831022</t>
  </si>
  <si>
    <t xml:space="preserve">vorgesehen. Das bringe ich mit: Abgeschlossene technische Ausbildung mit Schwerpunkt IT (Lehre, HTL, FH) Berufserfahrung in der System- und ggf. Applikationsbetreuung mit breitgefächertem Wissen zu Betriebssystemen am Backend und Frontend Interesse an Geschäftsprozessen und deren Abbildung in IT-Systemen Teamplayer, Leidenschaft für IT-Projekte und eigenverantwortlicher Arbeitsstil Service- und kundenorientierte Arbe…</t>
  </si>
  <si>
    <t xml:space="preserve">Sanallaştırma (Hyper-V/Proxmox), Ağ / Firewall / VPN, Ekip liderliği</t>
  </si>
  <si>
    <t xml:space="preserve">Almanca C1 / çok iyi Almanca, Azure / Entra ID, Intune / M365 admin, Scripting / otomasyon (PowerShell vb.), İş uygulaması alanı (CRM/ERP/Legal/ServiceNow…), AI / ML</t>
  </si>
  <si>
    <t xml:space="preserve">https://www.karriere.at/f/%C3%B6wd-security-services</t>
  </si>
  <si>
    <t xml:space="preserve">Firewall &amp; Network Security Engineer (all genders)</t>
  </si>
  <si>
    <t xml:space="preserve">https://www.karriere.at/jobs/7839275</t>
  </si>
  <si>
    <t xml:space="preserve">von heute und morgen. Aufgabenbereich Umsetzung, Qualitätssicherung und Dokumentation von Changes an Firewall‑Systemen (Policy‑Anpassungen, NAT, VPN, Zonen-/Segmentierung) entsprechend der Security‑ und Compliance‑Vorgaben (Audit‑Readiness) Analyse und Behebung von Incidents und Problems inkl. Root‑Cause‑Analysen, Eskalationsmanagement und Lessons Learned Technisches Kapazitäts‑, Lifecycle‑ und Patch‑Management (Imag…</t>
  </si>
  <si>
    <t xml:space="preserve">ISO 27001 / ISMS, ITIL / ITSM, Ağ / Firewall / VPN, Ekip liderliği, Politika / uyum, Denetim / audit</t>
  </si>
  <si>
    <t xml:space="preserve">ANA ŞART: Scripting / otomasyon (PowerShell vb.), Container / IaC / DevOps, NIS-2 / DORA / TISAX</t>
  </si>
  <si>
    <t xml:space="preserve">eworx Network &amp; Internet GmbH</t>
  </si>
  <si>
    <t xml:space="preserve">Microsoft 365 &amp; Azure Consultant (m/w/d)</t>
  </si>
  <si>
    <t xml:space="preserve">https://www.linkedin.com/jobs/view/4468177192</t>
  </si>
  <si>
    <t xml:space="preserve">zu analysieren und daraus gute Lösungen für Kund:innen zu entwickeln Selbstständige und strukturierte Arbeitsweise Kommunikationsstärke und Freude am direkten Kundenkontakt Interesse daran, neue Microsoft-Technologien kennenzulernen und praktisch einzusetzen Eine klassische IT-Ausbildung oder ein Studium ist für uns weniger entscheidend als deine praktische Erfahrung, dein technisches Verständnis und deine Begeisteru…</t>
  </si>
  <si>
    <t xml:space="preserve">Backup / DR, Ağ / Firewall / VPN, Tedarikçi yönetimi, Ekip liderliği, Microsoft ortamı</t>
  </si>
  <si>
    <t xml:space="preserve">ANA ŞART: Azure / Entra ID, ANA ŞART: Intune / M365 admin, SIEM / SOC / EDR</t>
  </si>
  <si>
    <t xml:space="preserve">Almanca CV + Anschreiben ile başvur (Almanca B1/B2 belirt) · İletişim: me@eworx.at</t>
  </si>
  <si>
    <t xml:space="preserve">https://at.linkedin.com/company/eworx-at</t>
  </si>
  <si>
    <t xml:space="preserve">Security Systems Engineer (m/w/d)</t>
  </si>
  <si>
    <t xml:space="preserve">~€50k+/yıl (ilan: 3.600 € – 5.000 € monatlich)</t>
  </si>
  <si>
    <t xml:space="preserve">https://www.karriere.at/jobs/10030035</t>
  </si>
  <si>
    <t xml:space="preserve">Berufserfahrung im Bereich IT-Security, Netzwerk- oder Systemadministration Fundierte Kenntnisse in den Bereichen Netzwerksicherheit, Firewalls, VPN, Reverse Proxy und Load Balancing Idealerweise Erfahrung im Gesundheitswesen oder in einem anderen regulierten Umfeld Selbstständige, strukturierte und lösungsorientierte Arbeitsweise sowie Freude an der Zusammenarbeit im Team Interesse daran, Verantwortung für sichere u…</t>
  </si>
  <si>
    <t xml:space="preserve">Ağ / Firewall / VPN, Perakende / çok lokasyon</t>
  </si>
  <si>
    <t xml:space="preserve">ANA ŞART: Ağ üreticisi sertifikası (Cisco/Fortinet/Palo Alto), Citrix</t>
  </si>
  <si>
    <t xml:space="preserve">BEKO Solutions GmbH</t>
  </si>
  <si>
    <t xml:space="preserve">IT Administrator (w/m/x)</t>
  </si>
  <si>
    <t xml:space="preserve">Vöcklabruck</t>
  </si>
  <si>
    <t xml:space="preserve">und der kontinuierlichen fachlichen Weiterentwicklung Gute Deutsch- und Englischkenntnisse Das ist von Vorteil Erfahrung mit ERP-Systeme</t>
  </si>
  <si>
    <t xml:space="preserve">~€46k+/yıl (ilan: ab 3.300 € monatlich)</t>
  </si>
  <si>
    <t xml:space="preserve">https://www.karriere.at/jobs/7861873</t>
  </si>
  <si>
    <t xml:space="preserve">Abgeschlossene Ausbildung im IT-Bereich (Lehre, HTL, FH oder vergleichbare Qualifikation) Mehrjährige Erfahrung in der Systemadministration bzw. IT-Infrastruktur Fundierte Kenntnisse in Microsoft-Server-Umgebungen und Linux-Systemen Praxis im Umgang mit Virtualisierungslösungen wie VMware ESX oder Hyper-V Gute Kenntnisse in Active Directory, Netzwerktechnik, IT-Security und Datenbanken Strukturierte und eigenverantwo…</t>
  </si>
  <si>
    <t xml:space="preserve">Active Directory, Sanallaştırma (Hyper-V/Proxmox), Ağ / Firewall / VPN, SQL Server / DB, Tedarikçi yönetimi, Microsoft ortamı, Perakende / çok lokasyon</t>
  </si>
  <si>
    <t xml:space="preserve">Linux, VMware, ANA ŞART: İş uygulaması alanı (CRM/ERP/Legal/ServiceNow…)</t>
  </si>
  <si>
    <t xml:space="preserve">https://www.karriere.at/f/beko-engineering-informatik-wien</t>
  </si>
  <si>
    <t xml:space="preserve">Raiffeisen Oberösterreich</t>
  </si>
  <si>
    <t xml:space="preserve">Application Workload Manager:in – Data Warehouse</t>
  </si>
  <si>
    <t xml:space="preserve">Linz, Graz, Salzburg</t>
  </si>
  <si>
    <t xml:space="preserve">offen und adressatengerecht und bringst dafür sehr gute Deutschkenntnisse mit</t>
  </si>
  <si>
    <t xml:space="preserve">~€46k+/yıl (ilan: ab 45.800 € jährlich)</t>
  </si>
  <si>
    <t xml:space="preserve">https://www.karriere.at/jobs/7833350</t>
  </si>
  <si>
    <t xml:space="preserve">technisches Verständnis, Lernbereitschaft und klare Kommunikation. Du hast bereits mit Datenbanken (z. B. Microsoft SQL Server) gearbeitet und bringst idealerweise erste Erfahrung mit PowerShell oder einer vergleichbaren Skriptsprache mit. Du interessierst dich für Tools wie Connect:Direct oder BMC Control-M (Managed File Transfer) und konntest bereits praktische Erfahrungen damit sammeln. Du arbeitest strukturiert,…</t>
  </si>
  <si>
    <t xml:space="preserve">Ağ / Firewall / VPN, SQL Server / DB, Microsoft ortamı, Perakende / çok lokasyon</t>
  </si>
  <si>
    <t xml:space="preserve">Almanca C1 / çok iyi Almanca, Scripting / otomasyon (PowerShell vb.), İş uygulaması alanı (CRM/ERP/Legal/ServiceNow…)</t>
  </si>
  <si>
    <t xml:space="preserve">https://www.karriere.at/f/raiffeisen-ober%C3%B6sterreich</t>
  </si>
  <si>
    <t xml:space="preserve">Business Application Manager (m/w/d)</t>
  </si>
  <si>
    <t xml:space="preserve">https://www.karriere.at/jobs/7857257</t>
  </si>
  <si>
    <t xml:space="preserve">inkl. Spezifikation, Abstimmung mit Partnern sowie Testkoordination und Go-Live-Begleitung. Schnittstellen &amp; Datenintegration Betreuung und Optimierung von EDI-, API- und Datenbank-Schnittstellen sowie Analyse und Behebung von Fehlern in Datenflüssen und Integrationsprozessen. Prozessoptimierung &amp; Automatisierung Analyse operativer Geschäftsprozesse, Umsetzung technischer Optimierungen (z. B. SQL, Workflows, Automati…</t>
  </si>
  <si>
    <t xml:space="preserve">SQL Server / DB, Perakende / çok lokasyon</t>
  </si>
  <si>
    <t xml:space="preserve">Scripting / otomasyon (PowerShell vb.), İş uygulaması alanı (CRM/ERP/Legal/ServiceNow…)</t>
  </si>
  <si>
    <t xml:space="preserve">https://www.karriere.at/f/windhager-handelsgesmbh</t>
  </si>
  <si>
    <t xml:space="preserve">Senior Linux Expert POS-Systems (m/w/d)</t>
  </si>
  <si>
    <t xml:space="preserve">Kommunikation auch in kritischen Störungssituationen Fließenden Deutsch- und guten Englischkenntnissen sowie österreichweiter Reisebereitscha</t>
  </si>
  <si>
    <t xml:space="preserve">https://www.karriere.at/jobs/7875151</t>
  </si>
  <si>
    <t xml:space="preserve">https://www.linkedin.com/jobs/view/4466047572</t>
  </si>
  <si>
    <t xml:space="preserve">sowie mehrjähriger einschlägiger Berufserfahrung Sehr guten Linux-Kenntnissen in Administration, Betrieb und Troubleshooting, idealerweise in den Bereichen Prozesse, Dienste, Dateisysteme, Benutzer- und Berechtigungsverwaltung sowie Paketmanagement Grundkenntnissen in der Netzwerktechnik; Verständnis von TCP/IP, DNS, Routing, Firewalls und der Analyse verteilter Systemlandschaften von Vorteil Idealerweise Erfahrung m…</t>
  </si>
  <si>
    <t xml:space="preserve">Almanca C1 / çok iyi Almanca, ANA ŞART: Scripting / otomasyon (PowerShell vb.), ANA ŞART: Linux</t>
  </si>
  <si>
    <t xml:space="preserve">IT Systemadministrator (w/m/d)</t>
  </si>
  <si>
    <t xml:space="preserve">Eigenständigkeit, sehr gute Deutschkenntnisse und Führerschein Klasse B Worauf man sich freuen kann Dein</t>
  </si>
  <si>
    <t xml:space="preserve">~€49k+/yıl (ilan: 3.500 € – 5.000 € monatlich)</t>
  </si>
  <si>
    <t xml:space="preserve">https://www.karriere.at/jobs/7877968</t>
  </si>
  <si>
    <t xml:space="preserve">&amp; Berufserfahrung zwischen EUR 3500 und EUR 5000 brutto / Monat (auf Vollzeitbasis). Klingt interessant? Am besten JETZT BEWERBEN und mehr über diese Position erfahren! Sollte es vorab Fragen geben, freut sich Jennifer Stillfried j.stillfried@kern-partner.at auf die Kontaktaufnahme. Jetzt Bewerben…</t>
  </si>
  <si>
    <t xml:space="preserve">Active Directory, Windows Server, Ağ / Firewall / VPN, Tedarikçi yönetimi, Microsoft ortamı</t>
  </si>
  <si>
    <t xml:space="preserve">Almanca C1 / çok iyi Almanca, VMware, Ağ üreticisi sertifikası (Cisco/Fortinet/Palo Alto)</t>
  </si>
  <si>
    <t xml:space="preserve">Almanca C1 isteniyor – yine de başvurmak istersen Almanca CV + dil planı (kurs/sertifika) belirt · Personel danışmanı ilanı → danışmanı telefon/e-posta ile ara, diğer açık pozisyonlarını da sor · İletişim: j.stillfried@kern-partner.at</t>
  </si>
  <si>
    <t xml:space="preserve">Aptiv Mobility Services Austria MAT. GmbH</t>
  </si>
  <si>
    <t xml:space="preserve">IT Coordinator (w|m|d)</t>
  </si>
  <si>
    <t xml:space="preserve">Hohe Eigeninitiative und eine kooperative Arbeitsweise Sehr gute Deutsch- und Englischkenntnisse Benefits: Flexible Arbeitszeiten, Gleitzeitmo</t>
  </si>
  <si>
    <t xml:space="preserve">~€48k+/yıl (ilan: ab 48.287,12 € jährlich)</t>
  </si>
  <si>
    <t xml:space="preserve">https://www.karriere.at/jobs/10031668</t>
  </si>
  <si>
    <t xml:space="preserve">Abgeschlossene Ausbildung im IT Bereich (Lehre, HTL, FH oder vergleichbar) Mehrjährige Berufserfahrung in einer vergleichbaren Position Ausgeprägte Analyse- und Problemlösungskompetenz sowie eine strukturierte Arbeitsweise Hohe Eigeninitiative und eine kooperative Arbeitsweise Sehr gute Deutsch- und Englischkenntnisse Benefits: Flexible Arbeitszeiten, Gleitzeitmodell, Home Office Vielfältiges Aufgabengebiet in einem…</t>
  </si>
  <si>
    <t xml:space="preserve">https://www.karriere.at/f/aptiv-mobility-services-austria-mat</t>
  </si>
  <si>
    <t xml:space="preserve">Walter Werkzeuge Salzburg GmbH</t>
  </si>
  <si>
    <t xml:space="preserve">Mitarbeiter IT/ERP/Digitalisierung (m/w/d)</t>
  </si>
  <si>
    <t xml:space="preserve">Anif</t>
  </si>
  <si>
    <t xml:space="preserve">Deutschkenntnisse in Wort und Schrift</t>
  </si>
  <si>
    <t xml:space="preserve">Sadece KV asgarisi: ~€33k/yıl (ilan metni) – gerçek maaş belirtilmemiş, genelde üstünde</t>
  </si>
  <si>
    <t xml:space="preserve">2026-09-18</t>
  </si>
  <si>
    <t xml:space="preserve">https://www.karriere.at/jobs/10029254</t>
  </si>
  <si>
    <t xml:space="preserve">Du interessierst dich für IT, Digitalisierung, Software und technische Zusammenhänge. Erste Erfahrung in einem oder mehreren Bereichen wie ERP, IT-Support, Software, Schnittstellen, Automatisierung oder Daten/Auswertungen von Vorteil. Du verfügst über technisches Verständnis und hast Freude daran, dich in neue Themen und Systeme einzuarbeiten. Du arbeitest strukturiert, lösungsorientiert und selbstständig. Du schaust…</t>
  </si>
  <si>
    <t xml:space="preserve">Proje yönetimi, Ekip liderliği, Perakende / çok lokasyon</t>
  </si>
  <si>
    <t xml:space="preserve">Scripting / otomasyon (PowerShell vb.), ANA ŞART: İş uygulaması alanı (CRM/ERP/Legal/ServiceNow…), AI / ML</t>
  </si>
  <si>
    <t xml:space="preserve">https://www.karriere.at/f/walter-werkzeuge-salzburg</t>
  </si>
  <si>
    <t xml:space="preserve">nic.at GmbH</t>
  </si>
  <si>
    <t xml:space="preserve">Linux Systemadministrator:in (m/w/d</t>
  </si>
  <si>
    <t xml:space="preserve">~€65k+/yıl (ilan: ab 4.650 € monatlich)</t>
  </si>
  <si>
    <t xml:space="preserve">https://www.karriere.at/jobs/10032397</t>
  </si>
  <si>
    <t xml:space="preserve">&amp; Ihre Skills Niemand kann alles können, aber je mehr dieser Themen und Tools abgedeckt werden, umso besser. Linux: Debian und Ubuntu Orchestrierung mit Puppet Virtualisierung und Storage: VMware, Proxmox, iSCSI, NFS, CEPH Netzwerk: Juniper, EVPN/VXLAN, BGP, iptables, nftables, Checkpoint, OpenVPN, Netbird Netzwerk Debugging: mtr, tcpdump DNS: Bind, NSD, Knot, PowerDNS, entrada HTTP: Apache, NGINX, HAproxy, FPM, Keyc…</t>
  </si>
  <si>
    <t xml:space="preserve">Sanallaştırma (Hyper-V/Proxmox), Backup / DR, Ağ / Firewall / VPN, SQL Server / DB, Perakende / çok lokasyon</t>
  </si>
  <si>
    <t xml:space="preserve">ANA ŞART: Scripting / otomasyon (PowerShell vb.), ANA ŞART: Linux, VMware, ANA ŞART: Container / IaC / DevOps, Ağ üreticisi sertifikası (Cisco/Fortinet/Palo Alto)</t>
  </si>
  <si>
    <t xml:space="preserve">https://www.karriere.at/f/nic-at</t>
  </si>
  <si>
    <t xml:space="preserve">STARCON | HR Experts</t>
  </si>
  <si>
    <t xml:space="preserve">Risk &amp; Control Manager (w/m/d)</t>
  </si>
  <si>
    <t xml:space="preserve">Eigeninitiative &amp; einer strukturierten Arbeitsweise Sehr guten Deutsch- &amp; Englischkenntnissen sowie Ihrer kommunikativen Stärke Gesetzlich s</t>
  </si>
  <si>
    <t xml:space="preserve">https://www.linkedin.com/jobs/view/4464551042</t>
  </si>
  <si>
    <t xml:space="preserve">Für ein Unternehmen in Oberösterreich (Innviertel) suchen wir eine Persönlichkeit, die Risiken im Blick behält, Prozesse optimiert und die Qualität nachhaltig weiterentwickelt. Freuen Sie sich auf folgende Vorzüge des Unternehmens Mitarbeit in einem ambitionierten, kollegialen &amp; internationalen Team mit kurzen Entscheidungswegen Abwechslungsreiches &amp; verantwortungsvolles Aufgabengebiet mit viel Gestaltungsspielraum &amp;…</t>
  </si>
  <si>
    <t xml:space="preserve">https://at.linkedin.com/company/starcon-hr-experts</t>
  </si>
  <si>
    <t xml:space="preserve">SPAR ICS - Information &amp; Communication Services</t>
  </si>
  <si>
    <t xml:space="preserve">Microsoft 365 SharePoint Expert (m/w/d)</t>
  </si>
  <si>
    <t xml:space="preserve">und dem Blick für praktikable Lösungen sehr gute Deutsch- und Englischkenntnisse in Wort und Schrift Darauf kannst du dich fre</t>
  </si>
  <si>
    <t xml:space="preserve">2026-09-08</t>
  </si>
  <si>
    <t xml:space="preserve">https://www.linkedin.com/jobs/view/4455712644</t>
  </si>
  <si>
    <t xml:space="preserve">Mehrjährige Berufserfahrung im Umgang mit Microsoft 365 (insbesondere SharePoint, Exchange Online, Teams, OneDrive und Security &amp; Compliance) Know-how in PowerShell, Power Automate und der Integration von Drittsystemen von Vorteil Hands-on-Mentalität, Verantwortungsbewusstsein und dem Blick für praktikable Lösungen sehr gute Deutsch- und Englischkenntnisse in Wort und Schrift Darauf kannst du dich freuen Arbeiten mit…</t>
  </si>
  <si>
    <t xml:space="preserve">Politika / uyum, Microsoft ortamı, Perakende / çok lokasyon</t>
  </si>
  <si>
    <t xml:space="preserve">Almanca C1 / çok iyi Almanca, ANA ŞART: Intune / M365 admin, Scripting / otomasyon (PowerShell vb.)</t>
  </si>
  <si>
    <t xml:space="preserve">https://at.linkedin.com/company/sparics</t>
  </si>
  <si>
    <t xml:space="preserve">Stieglbrauerei zu Salzburg GmbH</t>
  </si>
  <si>
    <t xml:space="preserve">Junior Business Application Manager (w/m/d)</t>
  </si>
  <si>
    <t xml:space="preserve">https://www.karriere.at/jobs/7852328</t>
  </si>
  <si>
    <t xml:space="preserve">Abgeschlossene Ausbildung im Bereich IT, Wirtschaftsinformatik, Betriebswirtschaft oder vergleichbar Interesse an Business-Applikationen, Prozessmanagement und Digitalisierung Analytische, strukturierte Arbeitsweise sowie hohe Lernbereitschaft und Eigeninitiative Kommunikationsstärke und Freude an der Zusammenarbeit mit unterschiedlichen Fachbereichen Erste Erfahrung im IT-/ERP-Umfeld sowie Kenntnisse in Office 365 u…</t>
  </si>
  <si>
    <t xml:space="preserve">ITIL / ITSM, Ekip liderliği</t>
  </si>
  <si>
    <t xml:space="preserve">Intune / M365 admin, İş uygulaması alanı (CRM/ERP/Legal/ServiceNow…), AI / ML</t>
  </si>
  <si>
    <t xml:space="preserve">https://www.karriere.at/f/stieglbrauerei-zu-salzburg</t>
  </si>
  <si>
    <t xml:space="preserve">se-austria GmbH &amp; Co. KG</t>
  </si>
  <si>
    <t xml:space="preserve">Schörfling am Attersee</t>
  </si>
  <si>
    <t xml:space="preserve">zur stetigen Weiterentwicklung der IT-Fähigkeiten Sehr gute Deutsch und Englischkenntnisse Selbstständige und motivierte Persönlichkeit m</t>
  </si>
  <si>
    <t xml:space="preserve">Sadece KV asgarisi: ~€42k/yıl (ab 3.000 € monatlich) – gerçek maaş belirtilmemiş, genelde üstünde</t>
  </si>
  <si>
    <t xml:space="preserve">https://www.karriere.at/jobs/10032935</t>
  </si>
  <si>
    <t xml:space="preserve">Abgeschlossene IT-Ausbildung Mindestens 2 Jahre Erfahrung im Bereich Systemadministration und Netzwerktechnik Kenntnisse in der Administration von Windows und Linux Servern Bereitschaft zur stetigen Weiterentwicklung der IT-Fähigkeiten Sehr gute Deutsch und Englischkenntnisse Selbstständige und motivierte Persönlichkeit mit Interesse an neuen Technologien Wir bieten Spannende, internationale Projekte in einem stabile…</t>
  </si>
  <si>
    <t xml:space="preserve">Windows Server, Sanallaştırma (Hyper-V/Proxmox), Ağ / Firewall / VPN, Tedarikçi yönetimi, Microsoft ortamı, Perakende / çok lokasyon</t>
  </si>
  <si>
    <t xml:space="preserve">Almanca C1 / çok iyi Almanca, ANA ŞART: Linux, VMware</t>
  </si>
  <si>
    <t xml:space="preserve">https://www.karriere.at/f/se-austria-co</t>
  </si>
  <si>
    <t xml:space="preserve">IT Solution Engineer (all genders)</t>
  </si>
  <si>
    <t xml:space="preserve">~€53k+/yıl (ilan: ab 3.789,81 € monatlich)</t>
  </si>
  <si>
    <t xml:space="preserve">https://www.karriere.at/jobs/7822727</t>
  </si>
  <si>
    <t xml:space="preserve">von heute und morgen. Aufgabenbereich Ansprechperson für den Fachbereich auf IT-systemtechnischer Ebene Abstimmung von Anforderungen (Requirements) mit den Stakeholdern aus dem Business, externen Dienstleistern, sowie innerhalb der unmittelbaren Business Unit Entwurf skalierbarer, sicherer und wirtschaftlicher IT-Lösungen, sowie Auswahl geeigneter Technologien, Plattformen und Integrationen, inkl. Erstellung von tech…</t>
  </si>
  <si>
    <t xml:space="preserve">ITIL / ITSM, Windows Server, Ağ / Firewall / VPN, SQL Server / DB, Tedarikçi yönetimi, Bütçe, Ekip liderliği, Politika / uyum, Microsoft ortamı</t>
  </si>
  <si>
    <t xml:space="preserve">Azure / Entra ID, Linux, Container / IaC / DevOps, ANA ŞART: Programlama, Oracle</t>
  </si>
  <si>
    <t xml:space="preserve">MYFLEXBOX Austria GmbH</t>
  </si>
  <si>
    <t xml:space="preserve">IT Support &amp; Operations Specialist (f/m/d)</t>
  </si>
  <si>
    <t xml:space="preserve">zu vermitteln Sehr gute Kommunikationsfähigkeiten Sehr gute Deutsch- und gute Englischkenntnisse Nice to Have: Erfahrung mit Jira, Jira S</t>
  </si>
  <si>
    <t xml:space="preserve">~€46k+/yıl (ilan: ab 3.272,70 € monatlich)</t>
  </si>
  <si>
    <t xml:space="preserve">https://www.karriere.at/jobs/10030185</t>
  </si>
  <si>
    <t xml:space="preserve">Du hast bereits erste Berufserfahrung im IT-Support gesammelt und möchtest mehr Verantwortung im Bereich IT Operations übernehmen Gute Kenntnisse in Microsoft 365, Microsoft Azure, Windows und modernen Cloud-Diensten Erfahrung im Benutzer- und Berechtigungsmanagement Selbstständige, strukturierte und lösungsorientierte Arbeitsweise Ausgeprägte Service- und Kundenorientierung sowie Freude daran, technische Themen vers…</t>
  </si>
  <si>
    <t xml:space="preserve">ITIL / ITSM, Windows Server, Ağ / Firewall / VPN, Ekip liderliği, Microsoft ortamı, Perakende / çok lokasyon</t>
  </si>
  <si>
    <t xml:space="preserve">Almanca C1 / çok iyi Almanca, ANA ŞART: Azure / Entra ID, ANA ŞART: Intune / M365 admin, Scripting / otomasyon (PowerShell vb.)</t>
  </si>
  <si>
    <t xml:space="preserve">https://www.karriere.at/f/myflexbox-austria</t>
  </si>
  <si>
    <t xml:space="preserve">IT Applikationsbetreuer / Application Support 1st &amp; 2nd Level</t>
  </si>
  <si>
    <t xml:space="preserve">sich in neue IT-Systeme und Anwendungen einzuarbeiten Sehr gute Deutschkenntnisse in Wort und Schrift sowie gute Englischkenntnisse Worauf Du</t>
  </si>
  <si>
    <t xml:space="preserve">https://www.karriere.at/jobs/7875829</t>
  </si>
  <si>
    <t xml:space="preserve">https://www.linkedin.com/jobs/view/4466149299</t>
  </si>
  <si>
    <t xml:space="preserve">Mehrjährige Berufserfahrung im IT Support, Application Support, Applikationssupport oder Application Management Erfahrung in der Betreuung von Business-Applikationen und IT-Systemen sowie Ticketsystemen und Supportprozessen Gute Kenntnisse in Fehleranalyse, Störungsbehebung und strukturiertem Problemlösen Technisches Verständnis für Software, Schnittstellen, Datenflüsse und Berechtigungen Gutes Verständnis für betrie…</t>
  </si>
  <si>
    <t xml:space="preserve">(Senior) Firewall &amp; Network Security Engineer (w/m/x)</t>
  </si>
  <si>
    <t xml:space="preserve">insbesondere im Umfeld von Panorama von Vorteil Sehr gute Deutschkenntnisse Ausgeprägte Teamorientierung und Freude an der Zusammenarbe</t>
  </si>
  <si>
    <t xml:space="preserve">~€55k+/yıl (ilan: 3.900 € – 6.000 € monatlich)</t>
  </si>
  <si>
    <t xml:space="preserve">https://www.karriere.at/jobs/7867051</t>
  </si>
  <si>
    <t xml:space="preserve">&amp; Erfahrung zwischen 3.900 EUR und 6.000 EUR brutto / Monat (auf Vollzeitbasis). Brutto Netto Rechner Das Unternehmen Rund 2.400 Mitarbeiter:innen engagieren sich bei diesem Unternehmen 365 Tage im Jahr tatkräftig und mit Leidenschaft für ihre Kund:innen in den Bereichen Energie, Mobilität und Kommunikation. Werden auch Sie Teil dieses motivierten Teams! smart bewerben Matthias Maier Teamlead Recruiting IT Ansprechpe…</t>
  </si>
  <si>
    <t xml:space="preserve">ITIL / ITSM, Ağ / Firewall / VPN, Ekip liderliği, Politika / uyum</t>
  </si>
  <si>
    <t xml:space="preserve">Almanca C1 / çok iyi Almanca, ANA ŞART: Scripting / otomasyon (PowerShell vb.), ANA ŞART: Ağ üreticisi sertifikası (Cisco/Fortinet/Palo Alto)</t>
  </si>
  <si>
    <t xml:space="preserve">Porsche Holding</t>
  </si>
  <si>
    <t xml:space="preserve">Active Directory &amp; Entra ID System Engineer (w/m/d)</t>
  </si>
  <si>
    <t xml:space="preserve">sowie hohes Sicherheits- und Qualitätsbewusstsein Sehr gute Deutsch- und Englischkenntnisse Skills Problemlösungskompetenz Kommunikations</t>
  </si>
  <si>
    <t xml:space="preserve">https://www.linkedin.com/jobs/view/4468259260</t>
  </si>
  <si>
    <t xml:space="preserve">Abgeschlossene IT-Ausbildung (HTL, FH, Universität) oder vergleichbare Berufserfahrung Mindestens 5 Jahre Berufserfahrung im Betrieb und Engineering von Microsoft Active Directory und Entra ID Fundierte Kenntnisse in Windows Server, Group Policy, DNS, Hybrid Identity und Entra Connect Erfahrung im Betrieb und Schutz hochprivilegierter Tier-0-Systeme Ausgeprägte Troubleshooting- und Analysefähigkeiten in komplexen IT-…</t>
  </si>
  <si>
    <t xml:space="preserve">ITIL / ITSM, Active Directory, Windows Server, Politika / uyum, Microsoft ortamı, Perakende / çok lokasyon</t>
  </si>
  <si>
    <t xml:space="preserve">Almanca C1 / çok iyi Almanca, ANA ŞART: Azure / Entra ID, ANA ŞART: Scripting / otomasyon (PowerShell vb.), İş uygulaması alanı (CRM/ERP/Legal/ServiceNow…)</t>
  </si>
  <si>
    <t xml:space="preserve">https://at.linkedin.com/company/porsche-holding</t>
  </si>
  <si>
    <t xml:space="preserve">Hammerer Aluminium Industries GmbH</t>
  </si>
  <si>
    <t xml:space="preserve">IT-Systemadministrator (m/w/d) // Standort Ranshofen</t>
  </si>
  <si>
    <t xml:space="preserve">Ranshofen, Upper Austria, Austria</t>
  </si>
  <si>
    <t xml:space="preserve">Teamfähigkeit, Kommunikationsstärke und hohe Serviceorientierung Deutsch auf muttersprachlichem/fachsprachlich sicherem Niveau sowie sehr gute</t>
  </si>
  <si>
    <t xml:space="preserve">https://www.linkedin.com/jobs/view/4465980516</t>
  </si>
  <si>
    <t xml:space="preserve">https://www.linkedin.com/jobs/view/4465994367</t>
  </si>
  <si>
    <t xml:space="preserve">Abgeschlossene IT-Ausbildung und entsprechende Berufserfahrung als IT-Systemadministrator:in oder IT‑Projektmanager:in Solide Kenntnisse in Microsoft-Technologien, Netzwerken (LAN, WAN, WLAN, Firewalls) und IT-Security; Zertifizierungen von Vorteil Strukturierte, selbstständige und lösungsorientierte Arbeitsweise sowie gutes Prozessverständnis Teamfähigkeit, Kommunikationsstärke und hohe Serviceorientierung Deutsch…</t>
  </si>
  <si>
    <t xml:space="preserve">Almanca C1 / çok iyi Almanca, Azure / Entra ID, Intune / M365 admin, Citrix</t>
  </si>
  <si>
    <t xml:space="preserve">https://at.linkedin.com/company/hai-hammerer-aluminium-industries-gmbh</t>
  </si>
  <si>
    <t xml:space="preserve">IT Support Technician (mwd)</t>
  </si>
  <si>
    <t xml:space="preserve">Grödig, Salzburg, Austria</t>
  </si>
  <si>
    <t xml:space="preserve">always aiming for efficient service Fluent in both German and English, written and spoken (German is a mandatory requirement) U</t>
  </si>
  <si>
    <t xml:space="preserve">https://www.linkedin.com/jobs/view/4470313878</t>
  </si>
  <si>
    <t xml:space="preserve">Completed technical education (e.g., apprenticeship, technical college/HTL, vocational school) in IT - alternatively, comparable professional experience in IT support At least 3 years of experience in IT support or a related field Proficiency in Microsoft 365 and experience with ServiceNow or similar ticketing systems Hands-on experience in user and access management with Active Directory and Microsoft Entra ID (Azur…</t>
  </si>
  <si>
    <t xml:space="preserve">ANA ŞART: Azure / Entra ID, Intune / M365 admin, Scripting / otomasyon (PowerShell vb.), İş uygulaması alanı (CRM/ERP/Legal/ServiceNow…), AI / ML</t>
  </si>
  <si>
    <t xml:space="preserve">Tauernkliniken GmbH</t>
  </si>
  <si>
    <t xml:space="preserve">Junior Projektmanager (m/w/d)</t>
  </si>
  <si>
    <t xml:space="preserve">Zell am See (Bezirk)</t>
  </si>
  <si>
    <t xml:space="preserve">strukturiertes und dokumentiertes Arbeiten Sehr gute Deutschkenntnisse in Wort und Schrift Was wir bieten Einen vielseitigen und a</t>
  </si>
  <si>
    <t xml:space="preserve">https://www.karriere.at/jobs/10031783</t>
  </si>
  <si>
    <t xml:space="preserve">Abgeschlossene betriebswirtschaftliche Ausbildung (HAK oder vergleichbare Qualifikation im kaufmännischen Bereich) oder Studium, jedenfalls erste Berufserfahrung wünschenswert Souveräner Umgang mit Microsoft Office Kernanwendungen Zahlenaffinität gepaart mit analytischem und logischem Denkvermögen Kommunikationsgeschick sowie Durchsetzungsvermögen Teamfähigkeit sowie eigenständiges, strukturiertes und dokumentiertes…</t>
  </si>
  <si>
    <t xml:space="preserve">Microsoft ortamı, Perakende / çok lokasyon</t>
  </si>
  <si>
    <t xml:space="preserve">https://www.karriere.at/f/tauernkliniken-zell-am-see</t>
  </si>
  <si>
    <t xml:space="preserve">Cloud Engineer</t>
  </si>
  <si>
    <t xml:space="preserve">Cloud / DevOps / Linux</t>
  </si>
  <si>
    <t xml:space="preserve">Lernbereitschaft und lösungsorientiertem Denken Sehr gute Deutschkenntnisse in Wort und Schrift, gute Englischkenntnisse Hohe Kundenori</t>
  </si>
  <si>
    <t xml:space="preserve">~€56k+/yıl (ilan: &gt; € 56000)</t>
  </si>
  <si>
    <t xml:space="preserve">https://bewerbung.acp-gruppe.com/at/rx/905</t>
  </si>
  <si>
    <t xml:space="preserve">Abgeschlossene IT-Ausbildung (Lehre, HTL, Fachschule o. Ä.) oder vergleichbare Qualifikation Fundiertes Wissen über Cloud-Services (z. B. Microsoft 365, Azure) und deren Anwendungsmöglichkeiten Erfahrung in der Analyse und Betreuung von Cloud-Infrastrukturen Vertrautheit mit DevOps-Ansätzen, agilen Methoden (z. B. Scrum) von Vorteil Kommunikationsstärke und Freude am Kundenkontakt Hohes Maß an Eigeninitiative, Lernbe…</t>
  </si>
  <si>
    <t xml:space="preserve">Tedarikçi yönetimi, Microsoft ortamı</t>
  </si>
  <si>
    <t xml:space="preserve">Almanca C1 / çok iyi Almanca, Azure / Entra ID, Intune / M365 admin, Container / IaC / DevOps</t>
  </si>
  <si>
    <t xml:space="preserve">Ramsauer GmbH &amp; Co KG</t>
  </si>
  <si>
    <t xml:space="preserve">IT-Applikationsbetreuer [w/m/d]</t>
  </si>
  <si>
    <t xml:space="preserve">Strobl</t>
  </si>
  <si>
    <t xml:space="preserve">https://www.karriere.at/jobs/7862488</t>
  </si>
  <si>
    <t xml:space="preserve">IT-Applikationsbetreuer [w/m/d] Art der Anstellung Vollzeit gewünschter Skill-Level Erfahren Entlohnung KV chem. Industrie Bei Ramsauer entwickeln wir nicht nur erstklassige Dicht- und Klebstoffe - wir schaffen Verbindungen, die halten. Hier trifft Innovation auf Tradition, und jeder Handgriff zählt. Wenn du Teil eines Teams sein willst, das Verlässlichkeit großschreibt und Qualität lebt, dann bist du bei uns genau r…</t>
  </si>
  <si>
    <t xml:space="preserve">Scripting / otomasyon (PowerShell vb.), ANA ŞART: İş uygulaması alanı (CRM/ERP/Legal/ServiceNow…)</t>
  </si>
  <si>
    <t xml:space="preserve">https://www.karriere.at/f/ramsauer-josef-kreidewerk</t>
  </si>
  <si>
    <t xml:space="preserve">Senior Cloud Engineer (w/m/*)</t>
  </si>
  <si>
    <t xml:space="preserve">Dornbirn, Innsbruck, Leonding, Salzburg (Stadt)</t>
  </si>
  <si>
    <t xml:space="preserve">strukturierte und professionelle Arbeitsweise sowie sehr gute Deutsch- und Englischkenntnisse und sicheres Auftreten im Kund:innenumfeld De</t>
  </si>
  <si>
    <t xml:space="preserve">~€67k+/yıl (ilan: ab 67.000 € jährlich)</t>
  </si>
  <si>
    <t xml:space="preserve">https://www.karriere.at/jobs/7838495</t>
  </si>
  <si>
    <t xml:space="preserve">und Erfahrung definieren wir dein individuelles Package Deine Aufgaben Technische Umsetzung und Weiterentwicklung von Cloud-Lösungen bei unseren Kund:innen Durchführung von Onboarding-Workshops mit neuen Kund:innen Planung und Durchführung von Implementierungen, Migrationen und Optimierungen Technische Verantwortung in Projekten - von Design bis Betrieb sowie Unterstützung bei Architekturentscheidungen und Best Pract…</t>
  </si>
  <si>
    <t xml:space="preserve">Ağ / Firewall / VPN, Tedarikçi yönetimi, Ekip liderliği, Politika / uyum, Microsoft ortamı</t>
  </si>
  <si>
    <t xml:space="preserve">Applikationsbetreuer (w/m/x)</t>
  </si>
  <si>
    <t xml:space="preserve">Raum Wels, Ried, Vöcklabruck</t>
  </si>
  <si>
    <t xml:space="preserve">https://www.karriere.at/jobs/7860421</t>
  </si>
  <si>
    <t xml:space="preserve">Mehrjährige Erfahrung in der Betreuung von Business-Applikationen, idealerweise im ERP-Umfeld Grundlegende Kenntnisse in SQL sowie ein Verständnis für Datenstrukturen und Systemzusammenhänge Freude daran, Wissen verständlich zu vermitteln und Anwender:innen zu unterstützen Eine organisierte, eigenverantwortliche Arbeitsweise sowie ein lösungsorientierter Zugang zu Herausforderungen Ausgeprägte Eigeninitiative, Verläs…</t>
  </si>
  <si>
    <t xml:space="preserve">SQL Server / DB, Ekip liderliği, Perakende / çok lokasyon</t>
  </si>
  <si>
    <t xml:space="preserve">Programlama, ANA ŞART: İş uygulaması alanı (CRM/ERP/Legal/ServiceNow…)</t>
  </si>
  <si>
    <t xml:space="preserve">Lebenshilfe Oberösterreich</t>
  </si>
  <si>
    <t xml:space="preserve">IT-Infrastruktur-Administrator:in</t>
  </si>
  <si>
    <t xml:space="preserve">~€47k+/yıl (ilan: 3.348,90 € – 4.050,30 € monatlich)</t>
  </si>
  <si>
    <t xml:space="preserve">https://www.karriere.at/jobs/10028951</t>
  </si>
  <si>
    <t xml:space="preserve">&amp; Erfahrung Abgeschlossene IT-Ausbildung oder vergleichbare Qualifikation mit fundierter Praxiserfahrung Erfahrung im Mitarbeiter:innensupport sowie in der Administration, Weiterentwicklung und Umsetzung von IT-Infrastruktur- und IT-Projekten gute Kenntnisse in Microsoft-Technologien sowie Virtualisierungs- und Cloud-Lösungen (Windows Server, GPO, Microsoft 365, Azure, SharePoint, Hyper-V) Erfahrung im Client- und So…</t>
  </si>
  <si>
    <t xml:space="preserve">Windows Server, Sanallaştırma (Hyper-V/Proxmox), Backup / DR, Ağ / Firewall / VPN, Tedarikçi yönetimi, Microsoft ortamı, Perakende / çok lokasyon</t>
  </si>
  <si>
    <t xml:space="preserve">Azure / Entra ID, Intune / M365 admin, ANA ŞART: Scripting / otomasyon (PowerShell vb.), ANA ŞART: Linux</t>
  </si>
  <si>
    <t xml:space="preserve">Almanca CV + Anschreiben ile başvur (Almanca B1/B2 belirt) · İletişim: buchner.daniel@ooe.lebenshilfe.org</t>
  </si>
  <si>
    <t xml:space="preserve">https://www.karriere.at/f/lebenshilfe-ober%C3%B6sterreich</t>
  </si>
  <si>
    <t xml:space="preserve">Axians ICT Austria GmbH</t>
  </si>
  <si>
    <t xml:space="preserve">Senior Cloud Engineering</t>
  </si>
  <si>
    <t xml:space="preserve">Innsbruck, Linz, Salzburg, Wien, Wolfurt</t>
  </si>
  <si>
    <t xml:space="preserve">https://www.karriere.at/jobs/7880215</t>
  </si>
  <si>
    <t xml:space="preserve">in Einklang bringst. Du entwickelst Infrastructure-as-Code-Lösungen mit Terraform oder Bicep und nutzt PowerShell zur Automatisierung wiederkehrender Aufgaben. Du richtest Entra ID, Conditional Access und Governance-Strukturen ein und berätst zu Identity- und Access-Strategien. Du gestaltest Azure DevOps Pipelines für CI/CD, Automatisierung und Infrastruktur-Deployments. Du führst Workshops und Reviews mit Kundenteam…</t>
  </si>
  <si>
    <t xml:space="preserve">Sanallaştırma (Hyper-V/Proxmox), Ağ / Firewall / VPN, Politika / uyum, Microsoft ortamı</t>
  </si>
  <si>
    <t xml:space="preserve">ANA ŞART: Azure / Entra ID, ANA ŞART: Scripting / otomasyon (PowerShell vb.), ANA ŞART: Container / IaC / DevOps</t>
  </si>
  <si>
    <t xml:space="preserve">Almanca CV + Anschreiben ile başvur (Almanca B1/B2 belirt) · İletişim: ingrid.weinzettl@axians.at</t>
  </si>
  <si>
    <t xml:space="preserve">https://www.karriere.at/f/axians-ict-austria</t>
  </si>
  <si>
    <t xml:space="preserve">LATURO Consulting</t>
  </si>
  <si>
    <t xml:space="preserve">IT-Business Partner (Produktion &amp; Digitalisierung) (m/w/d)</t>
  </si>
  <si>
    <t xml:space="preserve">Braunau am Inn (Bezirk)</t>
  </si>
  <si>
    <t xml:space="preserve">Verständnis für IT-/OT-Schnittstellen und Produktionsprozesse Gute Deutsch- und Englischkenntnisse sowie Reisebereitschaft (D, CH) DAS WIRD GEBO</t>
  </si>
  <si>
    <t xml:space="preserve">~€62k+/yıl (ilan: 61.600 € – 92.000 € jährlich)</t>
  </si>
  <si>
    <t xml:space="preserve">https://www.karriere.at/jobs/10032853</t>
  </si>
  <si>
    <t xml:space="preserve">) 61.600 EUR 92.000 EUR Benefits Kantine Kantine Ansprechperson Vanessa Baier +43 7742 60 390 19 Alle Jobs unter: laturo.at/consulting LATURO Consulting Vanessa Baier, BA Braunau | Mattighofen | Salzburg +43 7742/60 390-19 www.laturo.at…</t>
  </si>
  <si>
    <t xml:space="preserve">ANA ŞART: Scripting / otomasyon (PowerShell vb.), ANA ŞART: OT / SCADA güvenliği</t>
  </si>
  <si>
    <t xml:space="preserve">https://www.karriere.at/f/laturo-personalservice</t>
  </si>
  <si>
    <t xml:space="preserve">Unifits GmbH Austria</t>
  </si>
  <si>
    <t xml:space="preserve">Cloud &amp; Infrastructure Engineer (m/w/d)</t>
  </si>
  <si>
    <t xml:space="preserve">Bash) Sehr gute Deutsch- und gute Englischkenntnisse Von Vorteil Security-Operations (Microso</t>
  </si>
  <si>
    <t xml:space="preserve">~€57k+/yıl (ilan: ab 4.061 € monatlich)</t>
  </si>
  <si>
    <t xml:space="preserve">https://www.karriere.at/jobs/10033505</t>
  </si>
  <si>
    <t xml:space="preserve">Must-haves Abgeschlossene IT-Ausbildung (HTL, FH/ Uni) oder gleichwertige Praxiserfahrung Fundierte Erfahrung in der Microsoft-Cloud- und -Workplace-Administration: Microsoft 365, Intune, Entra ID und Azure Sicherer Umgang mit Identity- und Security-Grundlagen (MFA, RBAC, Least Privilege, Zero Trust) Scripting-/Automatisierungserfahrung (z. B. PowerShell, Bash) Sehr gute Deutsch- und gute Englischkenntnisse Von Vorte…</t>
  </si>
  <si>
    <t xml:space="preserve">ISO 27001 / ISMS, Windows Server, Sanallaştırma (Hyper-V/Proxmox), Ağ / Firewall / VPN, Tedarikçi yönetimi, Bütçe, Politika / uyum, Denetim / audit, Microsoft ortamı, Perakende / çok lokasyon</t>
  </si>
  <si>
    <t xml:space="preserve">Almanca C1 / çok iyi Almanca, ANA ŞART: Azure / Entra ID, ANA ŞART: Intune / M365 admin, ANA ŞART: Scripting / otomasyon (PowerShell vb.), Linux, ANA ŞART: SIEM / SOC / EDR, ANA ŞART: Container / IaC / DevOps, Programlama, AWS / GCP</t>
  </si>
  <si>
    <t xml:space="preserve">https://www.karriere.at/f/unifits-austria</t>
  </si>
  <si>
    <t xml:space="preserve">IT Business Solutions Specialist Microsoft 365, CRM &amp; AI (m/w/d)</t>
  </si>
  <si>
    <t xml:space="preserve">lösungsorientierte und pragmatische Arbeitsweise Gute Deutsch- und ausreichende Englischkenntnisse Von Vorteil: Erfahrungen im Micr</t>
  </si>
  <si>
    <t xml:space="preserve">~€48k+/yıl (ilan: ab 48.482,84 € jährlich)</t>
  </si>
  <si>
    <t xml:space="preserve">https://www.karriere.at/jobs/10031056</t>
  </si>
  <si>
    <t xml:space="preserve">Abgeschlossene Berufsausbildung oder vergleichbare Erfahrung im IT-Umfeld Ausbildung im IT Bereich (HTL, FH, Uni, Lehre) oder eine vergleichbare Qualifikation Erste praktische Erfahrung in der IT Interesse an Digitalisierung, Business Applications und den Möglichkeiten moderner AI-Technologien Freude an der Zusammenarbeit mit Anwendern in den Fachbereichen Selbstständige, lösungsorientierte und pragmatische Arbeitswe…</t>
  </si>
  <si>
    <t xml:space="preserve">ANA ŞART: Azure / Entra ID, ANA ŞART: Intune / M365 admin, ANA ŞART: İş uygulaması alanı (CRM/ERP/Legal/ServiceNow…), ANA ŞART: AI / ML</t>
  </si>
  <si>
    <t xml:space="preserve">eurofunk Kappacher GmbH</t>
  </si>
  <si>
    <t xml:space="preserve">Devops Engineer (m/w/d)</t>
  </si>
  <si>
    <t xml:space="preserve">Sankt Johann im Pongau, Salzburg</t>
  </si>
  <si>
    <t xml:space="preserve">Sadece KV asgarisi: ~€44k/yıl (ab 44.450 € jährlich) – gerçek maaş belirtilmemiş, genelde üstünde</t>
  </si>
  <si>
    <t xml:space="preserve">https://www.karriere.at/jobs/10030479</t>
  </si>
  <si>
    <t xml:space="preserve">und Berufserfahrung. 44.450 EUR Benefits Team-Events Flexible Arbeitszeiten Gleitzeit Gleitzeit Home Office Aus- und Weiterbildung Mentoringprogramm Fitnessangebote Workout.Zone Workout.Zone Essenszulage Gesundheitsmaßnahmen Parkplatz Gute Anbindung Fun-Corner Game.Zone Game.Zone Alle Benefits anzeigen Weniger Benefits anzeigen Team-Events Flexible Arbeitszeiten Gleitzeit Gleitzeit Home Office Aus- und Weiterbildung…</t>
  </si>
  <si>
    <t xml:space="preserve">Tedarikçi yönetimi, Perakende / çok lokasyon</t>
  </si>
  <si>
    <t xml:space="preserve">Scripting / otomasyon (PowerShell vb.), ANA ŞART: Container / IaC / DevOps, ANA ŞART: Programlama</t>
  </si>
  <si>
    <t xml:space="preserve">https://www.karriere.at/f/eurofunk-kappacher</t>
  </si>
  <si>
    <t xml:space="preserve">Wüstenrot Technology GmbH</t>
  </si>
  <si>
    <t xml:space="preserve">Cloud Platform Engineer (m/w/d)</t>
  </si>
  <si>
    <t xml:space="preserve">Salzburg (Stadt), Wien</t>
  </si>
  <si>
    <t xml:space="preserve">Rufbereitschaft zur Sicherstellung des stabilen Betriebs Sehr gute Deutschkenntnisse (mindestens B2) Bereitschaft zu gelegentlichen Reisen nach</t>
  </si>
  <si>
    <t xml:space="preserve">~€65k+/yıl (ilan: ab 65.000 € jährlich)</t>
  </si>
  <si>
    <t xml:space="preserve">https://www.karriere.at/jobs/7796165</t>
  </si>
  <si>
    <t xml:space="preserve">https://www.linkedin.com/jobs/view/4408822098</t>
  </si>
  <si>
    <t xml:space="preserve">Fundierte mehrjährige Berufserfahrung im Cloud-Bereich Abgeschlossene Ausbildung (HTL, Universität, FH), bevorzugt mit IT-Schwerpunkt oder vergleichbarer Berufserfahrung Erfahrung im Bereich der Linux-Administration sowie in der Serverbetreuung (Firmware, Storage, Network) Programmier- und Linuxkenntnisse (Java, Bash) Bereitschaft zur Teilnahme an einer geregelten Rufbereitschaft zur Sicherstellung des stabilen Betr…</t>
  </si>
  <si>
    <t xml:space="preserve">Almanca C1 / çok iyi Almanca, Scripting / otomasyon (PowerShell vb.), ANA ŞART: Linux, ANA ŞART: Container / IaC / DevOps, Programlama</t>
  </si>
  <si>
    <t xml:space="preserve">https://www.karriere.at/f/w%C3%BCstenrot-technology</t>
  </si>
  <si>
    <t xml:space="preserve">Firmalar – bu taramada aktif ilanı olan işverenler ve personel danışmanları</t>
  </si>
  <si>
    <t xml:space="preserve">İlan sayısı ve en yüksek uyum İlanlar sayfasından formülle hesaplanır · 'Tüm açık ilanları' = karriere.at firma sayfası veya LinkedIn şirket sayfası (test edildi)</t>
  </si>
  <si>
    <t xml:space="preserve">Firma (ilandaki adıyla)</t>
  </si>
  <si>
    <t xml:space="preserve">Sektör / tür</t>
  </si>
  <si>
    <t xml:space="preserve">Lokasyon(lar)</t>
  </si>
  <si>
    <t xml:space="preserve">Bu listedeki ilan sayısı</t>
  </si>
  <si>
    <t xml:space="preserve">Pozisyonlar</t>
  </si>
  <si>
    <t xml:space="preserve">Kariyer portalı (test edildi)</t>
  </si>
  <si>
    <t xml:space="preserve">Perakende / FMCG / tüketici</t>
  </si>
  <si>
    <t xml:space="preserve">Elsbethen; Thalgau</t>
  </si>
  <si>
    <t xml:space="preserve">IT Sales Applications Project Manager · IT Project Manager - Legal Solutions · Project Manager (Portfolio Management) · Application Security Service Manager · IT Team Manager - Global Field Sales Applications · IT Project / Application Manager - Production Application · IT Infrastructure Engineer · IT Project Manager - Sales Applications · IT Project Manager – Finance Applications</t>
  </si>
  <si>
    <t xml:space="preserve">https://jobs.redbull.com/at-de</t>
  </si>
  <si>
    <t xml:space="preserve">Sanayi / üretim</t>
  </si>
  <si>
    <t xml:space="preserve">IT hizmetleri / danışmanlık</t>
  </si>
  <si>
    <t xml:space="preserve">Technical Project Manager · Senior Systems Administrator</t>
  </si>
  <si>
    <t xml:space="preserve">https://transunion.wd5.myworkdayjobs.com/TransUnion</t>
  </si>
  <si>
    <t xml:space="preserve">Personel danışmanlığı / diğer</t>
  </si>
  <si>
    <t xml:space="preserve">Bezirk Vöcklabruck; Salzburg; Salzburg (Stadt)</t>
  </si>
  <si>
    <t xml:space="preserve">IT Allrounder (w/m/x) · IT System Administrator (w/m/x) · (Senior) Firewall &amp; Network Security Engineer (w/m/x)</t>
  </si>
  <si>
    <t xml:space="preserve">https://job.epunkt.com/jobs/</t>
  </si>
  <si>
    <t xml:space="preserve">https://www.rehrl.at/jobs/</t>
  </si>
  <si>
    <t xml:space="preserve">Graz, Klagenfurt, Salzburg, Wels, Wien; Linz, Steyr, Salzburg, Wels, Wien; Linz-Land, Graz, Salzburg; Vöcklabruck</t>
  </si>
  <si>
    <t xml:space="preserve">Information Security Consultant (w/m/d) · Devops Engineer mit Security-Schwerpunkt (w/m/d) · IT Support Engineer (w/m/d) · IT Systemadministrator (w/m/d)</t>
  </si>
  <si>
    <t xml:space="preserve">https://www.salzburg-ag.at/karriere/wir-als-arbeitgeber.html</t>
  </si>
  <si>
    <t xml:space="preserve">https://www.palfinger.com/worldwide/en/career.html</t>
  </si>
  <si>
    <t xml:space="preserve">Klagenfurt am Wörthersee, Wien, St. Peter in der Au, Graz, Wels, Salzburg (Stadt); Wien, Wels, Salzburg (Stadt)</t>
  </si>
  <si>
    <t xml:space="preserve">Senior Cyber Security Consultant &amp; Project Manager (m/w/d) · Senior Enterprise Network Engineer (m/w/d) · Datacenter Systems Engineer (m/w/d) · Security Awareness Specialist (m/w/d) · Senior Cybersecurity Analyst (m/w/d) · Security Systems Engineer (m/w/d)</t>
  </si>
  <si>
    <t xml:space="preserve">https://x-tention.com/en/career</t>
  </si>
  <si>
    <t xml:space="preserve">https://hr-schoeffmann.at/</t>
  </si>
  <si>
    <t xml:space="preserve">Salzburg (Stadt), Wien, Wernberg; Wien, Salzburg (Stadt)</t>
  </si>
  <si>
    <t xml:space="preserve">Product Lead IT Network (m/w/d) · Security Consultant - Vulnerability- und Exposure-Management (m/w/d) · Teamlead IT Service Desk (m/w/d) · Techlead Database Platform (m/w/d) · Senior Linux Expert POS-Systems (m/w/d)</t>
  </si>
  <si>
    <t xml:space="preserve">Grödig, Salzburg, Austria; Wals-Siezenheim, Salzburg, Austria</t>
  </si>
  <si>
    <t xml:space="preserve">Product Security Engineer (mfd) · IT Support Technician (mwd)</t>
  </si>
  <si>
    <t xml:space="preserve">Mattighofen; Mattighofen, Upper Austria, Austria</t>
  </si>
  <si>
    <t xml:space="preserve">Head of IT Infrastructure &amp; Operations* · Internal Control System (ICS) Specialist*</t>
  </si>
  <si>
    <t xml:space="preserve">Ranshofen; Salzburg; Salzburg (Stadt)</t>
  </si>
  <si>
    <t xml:space="preserve">Senior Operations Engineer m, w, d · Netzwerk Systems Engineer / Consultant · (Senior) Systems Engineer m, w, d · IT Operations Engineer · Senior Operations Workplace Engineer m, w, d · IT Onsite Client Support 1st &amp; 2nd  Level · Cloud Engineer</t>
  </si>
  <si>
    <t xml:space="preserve">https://www.senoplast.com/de/karriere/karriere-bei-senoplast/</t>
  </si>
  <si>
    <t xml:space="preserve">Kamu / altyapı / kurum</t>
  </si>
  <si>
    <t xml:space="preserve">Salzburg; Salzburg, Austria</t>
  </si>
  <si>
    <t xml:space="preserve">IT-Servicemanager*in · IT-AV-Engineer</t>
  </si>
  <si>
    <t xml:space="preserve">IT-Infrastrukturmanager (w/m/d) · IT-Systemadministrator (w/m/d) · Service Desk Mitarbeiter (w/m/d)</t>
  </si>
  <si>
    <t xml:space="preserve">Sağlık / sosyal</t>
  </si>
  <si>
    <t xml:space="preserve">https://www.sanitas.at/karriere</t>
  </si>
  <si>
    <t xml:space="preserve">Wien, Graz, Innsbruck, Klagenfurt, Linz, Salzburg; Wien, Graz, Klagenfurt, Linz, Salzburg</t>
  </si>
  <si>
    <t xml:space="preserve">Senior ISO 270XX-Auditor:in bzw. Implementierungsspezialist:in · Expert:in Information Security Strategy &amp; Transformation · Senior Spezialist:in Cybersecurity Beratung</t>
  </si>
  <si>
    <t xml:space="preserve">https://www.sigmatek-automation.com/de/karriere/</t>
  </si>
  <si>
    <t xml:space="preserve">https://tntpersonal.at/jobs-stellenanzeigen/</t>
  </si>
  <si>
    <t xml:space="preserve">Dornbirn, Innsbruck, Klagenfurt am Wörthersee, Salzburg, Wien, Graz, Linz; Salzburg, Wien, Graz, Linz</t>
  </si>
  <si>
    <t xml:space="preserve">Senior Systems Engineer Network &amp; Security (m/w/d) · IT Architect and Consultant (m/w/d)</t>
  </si>
  <si>
    <t xml:space="preserve">https://www.nts.eu/karriere/</t>
  </si>
  <si>
    <t xml:space="preserve">Dornbirn, Innsbruck, Klagenfurt, Linz, Raaba-Grambach, Salzburg (Stadt), Wien; Dornbirn, Innsbruck, Leonding, Salzburg (</t>
  </si>
  <si>
    <t xml:space="preserve">Senior System Engineer Endpoint Management  (w/m/*) · Presales Consultant Security (w/m/*) · Senior Cloud Engineer (w/m/*)</t>
  </si>
  <si>
    <t xml:space="preserve">https://www.cancom.at/karriere</t>
  </si>
  <si>
    <t xml:space="preserve">Team Lead Business Solutions, AI &amp; Collaboration (m/w/d) · IT Business Solutions Specialist Microsoft 365, CRM &amp; AI (m/w/d)</t>
  </si>
  <si>
    <t xml:space="preserve">Thalgau; Thalgau, Salzburg, Austria</t>
  </si>
  <si>
    <t xml:space="preserve">IT SYSTEM ENGINEER (m/w/d) · Business Application Manager (m/w/d)</t>
  </si>
  <si>
    <t xml:space="preserve">IT Infrastructure Systems Engineer (all genders) · Firewall &amp; Network Security Engineer (all genders) · IT Solution Engineer (all genders)</t>
  </si>
  <si>
    <t xml:space="preserve">https://www.lenzing.com/de/karriere/</t>
  </si>
  <si>
    <t xml:space="preserve">https://www.bwt.com/de-at/karriere/</t>
  </si>
  <si>
    <t xml:space="preserve">IT-Infrastruktur Engineer / System Engineer 3rd Level · IT Applikationsbetreuer / Application Support 1st &amp; 2nd Level</t>
  </si>
  <si>
    <t xml:space="preserve">https://www.eworx.at/karriere</t>
  </si>
  <si>
    <t xml:space="preserve">Raum Wels, Ried, Vöcklabruck; Vöcklabruck</t>
  </si>
  <si>
    <t xml:space="preserve">IT Administrator (w/m/x) · Applikationsbetreuer (w/m/x)</t>
  </si>
  <si>
    <t xml:space="preserve">Finans / sigorta</t>
  </si>
  <si>
    <t xml:space="preserve">https://www.aptiv.com/en/jobs</t>
  </si>
  <si>
    <t xml:space="preserve">https://hai-aluminium.career.softgarden.de/</t>
  </si>
  <si>
    <t xml:space="preserve">Kariyer / İşe Alım Firmaları (Personalberatung, Headhunter, Personaldienstleister)</t>
  </si>
  <si>
    <t xml:space="preserve">'Bu taramadaki aktif ilanlar' sütunu 27.09.2026 canlı taramasından gelir. Önceki sürümdeki ilan örnekleri (TECHSEARCH 2023, grinnberg 2024) eski olduğu için kaldırıldı.</t>
  </si>
  <si>
    <t xml:space="preserve">Tür</t>
  </si>
  <si>
    <t xml:space="preserve">Salzburg adresi / iletişim</t>
  </si>
  <si>
    <t xml:space="preserve">Uzmanlık</t>
  </si>
  <si>
    <t xml:space="preserve">Profile uygunluk (1-5)</t>
  </si>
  <si>
    <t xml:space="preserve">Bu taramadaki aktif ilanlar</t>
  </si>
  <si>
    <t xml:space="preserve">Web</t>
  </si>
  <si>
    <t xml:space="preserve">Not / strateji</t>
  </si>
  <si>
    <t xml:space="preserve">SCHULMEISTER Management Consulting</t>
  </si>
  <si>
    <t xml:space="preserve">Personalberatung / Executive Search</t>
  </si>
  <si>
    <t xml:space="preserve">Salzburg ofisi (+Wien, Linz, Graz, Prag)</t>
  </si>
  <si>
    <t xml:space="preserve">IT: altyapı, güvenlik, SAP, veri; Finans</t>
  </si>
  <si>
    <t xml:space="preserve">Bu taramada aktif ilan yok</t>
  </si>
  <si>
    <t xml:space="preserve">https://www.schulmeister-consulting.com/de/fuer-bewerberinnen/jobs-finden</t>
  </si>
  <si>
    <t xml:space="preserve">2026'da Avusturya'nın en iyi headhunter'ları arasında; IT infra/security odaklı – ilk aranacak firma</t>
  </si>
  <si>
    <t xml:space="preserve">IT Recruiting</t>
  </si>
  <si>
    <t xml:space="preserve">Siezenheimer Straße 35, 5020 Salzburg · +43 662 261262</t>
  </si>
  <si>
    <t xml:space="preserve">IT-security, altyapı, ERP, yazılım</t>
  </si>
  <si>
    <t xml:space="preserve">3 ilan: IT Allrounder (w/m/x) · IT System Administrator (w/m/x) · (Senior) Firewall &amp; Network Security Engineer (w/m/x)</t>
  </si>
  <si>
    <t xml:space="preserve">https://www.epunkt.com/standort/salzburg/</t>
  </si>
  <si>
    <t xml:space="preserve">Avusturya'nın önde gelen IT recruiter'ı; Salzburg ofisi var – CV kaydı yap</t>
  </si>
  <si>
    <t xml:space="preserve">AMS Salzburg (Arbeitsmarktservice)</t>
  </si>
  <si>
    <t xml:space="preserve">Kamu istihdam kurumu</t>
  </si>
  <si>
    <t xml:space="preserve">Salzburg (bölge ofisleri)</t>
  </si>
  <si>
    <t xml:space="preserve">Tüm sektörler; eJob-Room; kurs finansmanı</t>
  </si>
  <si>
    <t xml:space="preserve">https://jobs.ams.at/</t>
  </si>
  <si>
    <t xml:space="preserve">Kayıt ol: Almanca C1 / sertifika kursları finanse edilebilir – danışmana sor</t>
  </si>
  <si>
    <t xml:space="preserve">HR Consulting Ines Schöffmann</t>
  </si>
  <si>
    <t xml:space="preserve">Personalberatung (butik)</t>
  </si>
  <si>
    <t xml:space="preserve">Salzburg · office@hr-schoeffmann.at · +43 664 3116618</t>
  </si>
  <si>
    <t xml:space="preserve">IT &amp; teknik uzman/yönetici</t>
  </si>
  <si>
    <t xml:space="preserve">1 ilan: IT-Sicherheitsarchitekt:in</t>
  </si>
  <si>
    <t xml:space="preserve">IT-Sicherheitsarchitekt:in (€65–95k, CISO yolu) ilanı listenin 1 numarası – doğrudan ara</t>
  </si>
  <si>
    <t xml:space="preserve">Iventa</t>
  </si>
  <si>
    <t xml:space="preserve">Siezenheimerstraße 35, 5020 Salzburg · hallo@iventa.eu</t>
  </si>
  <si>
    <t xml:space="preserve">Executive search, recruiting (DACH + CEE)</t>
  </si>
  <si>
    <t xml:space="preserve">1 ilan: Senior IT Service Manager (w/m/d) – ITSM &amp; Prozessmanagement</t>
  </si>
  <si>
    <t xml:space="preserve">https://www.iventa.eu/</t>
  </si>
  <si>
    <t xml:space="preserve">DACH + CEE ağı; yönetici pozisyonları</t>
  </si>
  <si>
    <t xml:space="preserve">Rehrl + Partner Personalberatung</t>
  </si>
  <si>
    <t xml:space="preserve">Personalberatung</t>
  </si>
  <si>
    <t xml:space="preserve">Imbergstraße 20, 5020 Salzburg</t>
  </si>
  <si>
    <t xml:space="preserve">Finans, IT &amp; teknoloji, satış, HR</t>
  </si>
  <si>
    <t xml:space="preserve">1 ilan: Leitung IT-Infrastruktur (m/w/d)</t>
  </si>
  <si>
    <t xml:space="preserve">https://www.rehrl.at/</t>
  </si>
  <si>
    <t xml:space="preserve">Salzburg merkezli, 20+ yıl; IT &amp; Technik uzmanlığı</t>
  </si>
  <si>
    <t xml:space="preserve">HAPEKO</t>
  </si>
  <si>
    <t xml:space="preserve">Headhunter / Personalberatung</t>
  </si>
  <si>
    <t xml:space="preserve">Salzburg ofisi</t>
  </si>
  <si>
    <t xml:space="preserve">IT, mühendislik, satış</t>
  </si>
  <si>
    <t xml:space="preserve">https://www.hapeko.at/standorte/salzburg</t>
  </si>
  <si>
    <t xml:space="preserve">IT &amp; dijitalleşme headhunting</t>
  </si>
  <si>
    <t xml:space="preserve">MBMC</t>
  </si>
  <si>
    <t xml:space="preserve">IT, teknik, satış</t>
  </si>
  <si>
    <t xml:space="preserve">https://www.mbmc.at/personalberatung/salzburg/</t>
  </si>
  <si>
    <t xml:space="preserve">IT headhunter; uzman &amp; yönetici</t>
  </si>
  <si>
    <t xml:space="preserve">KERN engineering careers</t>
  </si>
  <si>
    <t xml:space="preserve">Personaldienstleister (IT &amp; mühendislik)</t>
  </si>
  <si>
    <t xml:space="preserve">Salzburg dahil çok lokasyon</t>
  </si>
  <si>
    <t xml:space="preserve">IT, security, mühendislik</t>
  </si>
  <si>
    <t xml:space="preserve">4 ilan: Information Security Consultant (w/m/d) · Devops Engineer mit Security-Schwerpunkt (w/m/d) · IT Support Engineer (w/m/d) · IT Systemadministrator (w/m/d)</t>
  </si>
  <si>
    <t xml:space="preserve">Bu taramada en çok IT/security ilanı olan danışman</t>
  </si>
  <si>
    <t xml:space="preserve">ip50 Personalberatung</t>
  </si>
  <si>
    <t xml:space="preserve">Salzburg / Hallein bölgesi</t>
  </si>
  <si>
    <t xml:space="preserve">IT transformasyonu (gizli müşteri)</t>
  </si>
  <si>
    <t xml:space="preserve">3 ilan: IT-Infrastrukturmanager (w/m/d) · IT-Systemadministrator (w/m/d) · Service Desk Mitarbeiter (w/m/d)</t>
  </si>
  <si>
    <t xml:space="preserve">Hallein'deki ‘Weltmarktführer’ için 3 IT rolü (altyapı müdürü dahil)</t>
  </si>
  <si>
    <t xml:space="preserve">TECHSEARCH</t>
  </si>
  <si>
    <t xml:space="preserve">IT &amp; teknik uzman recruiting</t>
  </si>
  <si>
    <t xml:space="preserve">IT &amp; teknik uzmanlar</t>
  </si>
  <si>
    <t xml:space="preserve">https://www.techsearch.at/jobs/269996-SPTS/it-team-leiter-w-m-d</t>
  </si>
  <si>
    <t xml:space="preserve">Önceki listedeki IT-Teamleiter ilanı 2023 tarihliydi (KAPALI). Genel CV gönderimi yapılabilir; aktif ilan yok.</t>
  </si>
  <si>
    <t xml:space="preserve">GOiNTERIM GmbH</t>
  </si>
  <si>
    <t xml:space="preserve">Interim Management</t>
  </si>
  <si>
    <t xml:space="preserve">Getreidegasse 31, 5020 Salzburg</t>
  </si>
  <si>
    <t xml:space="preserve">Interim yöneticiler (C-level'a kadar)</t>
  </si>
  <si>
    <t xml:space="preserve">https://www.gointerim.com/</t>
  </si>
  <si>
    <t xml:space="preserve">Somut ilan yok; interim IT-Leiter havuzuna genel başvuru</t>
  </si>
  <si>
    <t xml:space="preserve">TNT Personal (TNT Personalberatung)</t>
  </si>
  <si>
    <t xml:space="preserve">Salzburg bölgesi</t>
  </si>
  <si>
    <t xml:space="preserve">Sanayi / IT</t>
  </si>
  <si>
    <t xml:space="preserve">2 ilan: IT-Spezialist (w/m/d) · IT-Spezialist:in</t>
  </si>
  <si>
    <t xml:space="preserve">Sanayi müşterileri</t>
  </si>
  <si>
    <t xml:space="preserve">Trenkwalder Salzburg</t>
  </si>
  <si>
    <t xml:space="preserve">Personaldienstleister (vermittlung + leasing)</t>
  </si>
  <si>
    <t xml:space="preserve">Sterneckstraße 59, 5020 Salzburg · +43 50707 2030 · AToffice30@trenkwalder.com</t>
  </si>
  <si>
    <t xml:space="preserve">Genel + IT; freelancer/contracting</t>
  </si>
  <si>
    <t xml:space="preserve">https://at.trenkwalder.com/standorte/salzburg</t>
  </si>
  <si>
    <t xml:space="preserve">Personel leasing üzerinden hızlı giriş seçeneği</t>
  </si>
  <si>
    <t xml:space="preserve">TTI Personaldienstleistung</t>
  </si>
  <si>
    <t xml:space="preserve">Personaldienstleister</t>
  </si>
  <si>
    <t xml:space="preserve">IT, finans, HR vb.</t>
  </si>
  <si>
    <t xml:space="preserve">https://www.tti.at/</t>
  </si>
  <si>
    <t xml:space="preserve">~260 çalışan; IT departmanı var</t>
  </si>
  <si>
    <t xml:space="preserve">Manpower Austria</t>
  </si>
  <si>
    <t xml:space="preserve">Genel + IT-Administrator</t>
  </si>
  <si>
    <t xml:space="preserve">https://www.manpower.at/jobs/it-administrator/salzburg</t>
  </si>
  <si>
    <t xml:space="preserve">Lam Research, Mercedes-Benz gibi müşteriler</t>
  </si>
  <si>
    <t xml:space="preserve">Globe Personal Service</t>
  </si>
  <si>
    <t xml:space="preserve">Personalvermittlung</t>
  </si>
  <si>
    <t xml:space="preserve">IT, üretim, mühendislik, sağlık</t>
  </si>
  <si>
    <t xml:space="preserve">https://globe.at/en/company/standorte/personalvermittlung-und-personalberatung-salzburg/</t>
  </si>
  <si>
    <t xml:space="preserve">Hays Österreich</t>
  </si>
  <si>
    <t xml:space="preserve">IT Personaldienstleister / Contracting</t>
  </si>
  <si>
    <t xml:space="preserve">Wien, Graz (Salzburg ofisi yok)</t>
  </si>
  <si>
    <t xml:space="preserve">IT jobs &amp; IT projeleri (freelance dahil)</t>
  </si>
  <si>
    <t xml:space="preserve">https://www.hays.at/personaldienstleister/fachgebiet-information-technology</t>
  </si>
  <si>
    <t xml:space="preserve">Proje/freelance ISMS işleri için</t>
  </si>
  <si>
    <t xml:space="preserve">Michael Page Austria</t>
  </si>
  <si>
    <t xml:space="preserve">Recruitment (uluslararası)</t>
  </si>
  <si>
    <t xml:space="preserve">Wien</t>
  </si>
  <si>
    <t xml:space="preserve">Teknoloji, finans – İngilizce süreçler</t>
  </si>
  <si>
    <t xml:space="preserve">https://www.michaelpage.com/</t>
  </si>
  <si>
    <t xml:space="preserve">İngilizce çalışan uluslararası roller için</t>
  </si>
  <si>
    <t xml:space="preserve">IT, teknik, ofis</t>
  </si>
  <si>
    <t xml:space="preserve">1 ilan: IT Support Engineer (m/w/d)</t>
  </si>
  <si>
    <t xml:space="preserve">IT Support rollerinde aktif</t>
  </si>
  <si>
    <t xml:space="preserve">IT</t>
  </si>
  <si>
    <t xml:space="preserve">1 ilan: IT-Systemtechniker / Microsoft-Umgebung (m/w/d)</t>
  </si>
  <si>
    <t xml:space="preserve">IT-Systemtechniker Microsoft ilanı</t>
  </si>
  <si>
    <t xml:space="preserve">Personalberatung (DACH)</t>
  </si>
  <si>
    <t xml:space="preserve">Braunau am Inn ilanı</t>
  </si>
  <si>
    <t xml:space="preserve">IT (Microsoft/Entra)</t>
  </si>
  <si>
    <t xml:space="preserve">1 ilan: EntraID - Administrator | Microsoft Exchange, Active Directory, Mittelstand | Inhouse (mwd)</t>
  </si>
  <si>
    <t xml:space="preserve">EntraID-Administrator ilanı</t>
  </si>
  <si>
    <t xml:space="preserve">Braunau bölgesi</t>
  </si>
  <si>
    <t xml:space="preserve">IT &amp; dijitalleşme</t>
  </si>
  <si>
    <t xml:space="preserve">1 ilan: IT-Business Partner (Produktion &amp; Digitalisierung) (m/w/d)</t>
  </si>
  <si>
    <t xml:space="preserve">IT-Business Partner ilanı</t>
  </si>
  <si>
    <t xml:space="preserve">grinnberg GmbH</t>
  </si>
  <si>
    <t xml:space="preserve">IT-Personalberatung (Almanya merkezli)</t>
  </si>
  <si>
    <t xml:space="preserve">Uzaktan; Salzburg bölgesi ilanları var</t>
  </si>
  <si>
    <t xml:space="preserve">IT (sysadmin, network)</t>
  </si>
  <si>
    <t xml:space="preserve">https://www.grinnberg.de/it-jobs</t>
  </si>
  <si>
    <t xml:space="preserve">Önceki listedeki 2 ilan 2024 tarihli, süresi Nisan 2025'te dolmuş (KAPALI).</t>
  </si>
  <si>
    <t xml:space="preserve">PERNER GROUP</t>
  </si>
  <si>
    <t xml:space="preserve">Genel</t>
  </si>
  <si>
    <t xml:space="preserve">https://www.pernergroup.com/de/fuer-unternehmen/personalberatung</t>
  </si>
  <si>
    <t xml:space="preserve">rk-management GmbH</t>
  </si>
  <si>
    <t xml:space="preserve">Recruiting &amp; Personalberatung</t>
  </si>
  <si>
    <t xml:space="preserve">Salzburg ve çevresi</t>
  </si>
  <si>
    <t xml:space="preserve">Genel + talent development</t>
  </si>
  <si>
    <t xml:space="preserve">https://www.rkmanagement.at/leistungen-fuer-ihr-unternehmen/</t>
  </si>
  <si>
    <t xml:space="preserve">Oberösterreich (Innviertel)</t>
  </si>
  <si>
    <t xml:space="preserve">Risk, kalite, finans</t>
  </si>
  <si>
    <t xml:space="preserve">1 ilan: Risk &amp; Control Manager (w/m/d)</t>
  </si>
  <si>
    <t xml:space="preserve">Risk &amp; Control Manager (Braunau)</t>
  </si>
  <si>
    <t xml:space="preserve">İş Portalları – arama alarmı kurulacak yerler</t>
  </si>
  <si>
    <t xml:space="preserve">Portal</t>
  </si>
  <si>
    <t xml:space="preserve">Link</t>
  </si>
  <si>
    <t xml:space="preserve">Kullanım önerisi / bu taramadaki durum</t>
  </si>
  <si>
    <t xml:space="preserve">Avusturya'nın en büyük iş portalı</t>
  </si>
  <si>
    <t xml:space="preserve">DE (bazı EN)</t>
  </si>
  <si>
    <t xml:space="preserve">https://www.karriere.at/jobs/it/salzburg</t>
  </si>
  <si>
    <t xml:space="preserve">TARANDI (50+ kelime) – ana kaynak · Arama alarmı: ‘Informationssicherheit’, ‘IT-Leiter’, ‘Systemadministrator’ + Salzburg</t>
  </si>
  <si>
    <t xml:space="preserve">karriere.sn.at</t>
  </si>
  <si>
    <t xml:space="preserve">Salzburger Nachrichten iş portalı</t>
  </si>
  <si>
    <t xml:space="preserve">https://karriere.sn.at/</t>
  </si>
  <si>
    <t xml:space="preserve">Bölgesel ilanlar</t>
  </si>
  <si>
    <t xml:space="preserve">jobs.salzburg24.at</t>
  </si>
  <si>
    <t xml:space="preserve">Salzburg24 iş portalı</t>
  </si>
  <si>
    <t xml:space="preserve">DE/EN</t>
  </si>
  <si>
    <t xml:space="preserve">https://jobs.salzburg24.at/jobs/it-edv/salzburg-stadt</t>
  </si>
  <si>
    <t xml:space="preserve">Bölgesel IT ilanları</t>
  </si>
  <si>
    <t xml:space="preserve">salzburgerjobs.at</t>
  </si>
  <si>
    <t xml:space="preserve">Bölgesel portal</t>
  </si>
  <si>
    <t xml:space="preserve">https://www.salzburgerjobs.at/</t>
  </si>
  <si>
    <t xml:space="preserve">StepStone.at</t>
  </si>
  <si>
    <t xml:space="preserve">Büyük portal</t>
  </si>
  <si>
    <t xml:space="preserve">https://www.stepstone.at/jobs/english-speaking/in-salzburg</t>
  </si>
  <si>
    <t xml:space="preserve">Bot koruması (403) – ELLE ara · ‘English speaking’ filtresi</t>
  </si>
  <si>
    <t xml:space="preserve">jobinsalzburg.com</t>
  </si>
  <si>
    <t xml:space="preserve">Salzburg'da İNGİLİZCE işler</t>
  </si>
  <si>
    <t xml:space="preserve">https://jobinsalzburg.com/</t>
  </si>
  <si>
    <t xml:space="preserve">İngilizce çalışma dili odaklı</t>
  </si>
  <si>
    <t xml:space="preserve">englishjobsearch.at</t>
  </si>
  <si>
    <t xml:space="preserve">Avusturya'da İngilizce işler</t>
  </si>
  <si>
    <t xml:space="preserve">https://englishjobsearch.at/in/salzburg-stadt</t>
  </si>
  <si>
    <t xml:space="preserve">İngilizce roller</t>
  </si>
  <si>
    <t xml:space="preserve">Glassdoor</t>
  </si>
  <si>
    <t xml:space="preserve">Global portal</t>
  </si>
  <si>
    <t xml:space="preserve">EN/DE</t>
  </si>
  <si>
    <t xml:space="preserve">https://www.glassdoor.com/Job/salzburg-english-jobs-SRCH_IL.0,8_IC3080206_KO9,16.htm</t>
  </si>
  <si>
    <t xml:space="preserve">‘english’ + Salzburg</t>
  </si>
  <si>
    <t xml:space="preserve">LinkedIn Jobs</t>
  </si>
  <si>
    <t xml:space="preserve">https://www.linkedin.com/jobs/</t>
  </si>
  <si>
    <t xml:space="preserve">TARANDI (37 kelime, 50 km, son 30 gün) · Recruiter'lara doğrudan mesaj; ‘Open to work’</t>
  </si>
  <si>
    <t xml:space="preserve">AMS eJob-Room</t>
  </si>
  <si>
    <t xml:space="preserve">Kamu iş portalı</t>
  </si>
  <si>
    <t xml:space="preserve">Giriş gerekiyor – ELLE ara · Kayıt + danışman</t>
  </si>
  <si>
    <t xml:space="preserve">DEVjobs.at / it-career.at / tecjobs.at</t>
  </si>
  <si>
    <t xml:space="preserve">IT'ye özel portallar</t>
  </si>
  <si>
    <t xml:space="preserve">https://devjobs.at/</t>
  </si>
  <si>
    <t xml:space="preserve">Maaş bilgisi şeffaf</t>
  </si>
  <si>
    <t xml:space="preserve">hokify / join.com</t>
  </si>
  <si>
    <t xml:space="preserve">Mobil/kolay başvuru</t>
  </si>
  <si>
    <t xml:space="preserve">https://hokify.at/</t>
  </si>
  <si>
    <t xml:space="preserve">dm gibi perakendeciler</t>
  </si>
  <si>
    <t xml:space="preserve">Firma kariyer sayfaları</t>
  </si>
  <si>
    <t xml:space="preserve">Red Bull, Palfinger, Porsche, SPAR ICS, KTM…</t>
  </si>
  <si>
    <t xml:space="preserve">(Firmalar sayfası)</t>
  </si>
  <si>
    <t xml:space="preserve">Red Bull resmi API + ACP portalı tarandı · Doğrudan alarm kur</t>
  </si>
  <si>
    <t xml:space="preserve">Önerilen arama kelimeleri</t>
  </si>
  <si>
    <t xml:space="preserve">•</t>
  </si>
  <si>
    <t xml:space="preserve">Informationssicherheit / Information Security / ISMS / ISO 27001</t>
  </si>
  <si>
    <t xml:space="preserve">IT-Leiter / Leitung IT-Infrastruktur / Head of IT</t>
  </si>
  <si>
    <t xml:space="preserve">IT Operations / Infrastructure Engineer</t>
  </si>
  <si>
    <t xml:space="preserve">Systemadministrator / System Engineer Windows / Active Directory</t>
  </si>
  <si>
    <t xml:space="preserve">IT Service Manager / ITIL / Service Desk Teamlead</t>
  </si>
  <si>
    <t xml:space="preserve">Cyber Security / OT-Security / Security Consultant</t>
  </si>
  <si>
    <t xml:space="preserve">English speaking IT Salzburg</t>
  </si>
  <si>
    <t xml:space="preserve">Beceri Boşlukları ve Aksiyon Planı</t>
  </si>
  <si>
    <t xml:space="preserve">'Canlı ilan sayısı' = 122 aktif ilanın kaç tanesinin metninde bu konu geçiyor (27.09.2026)</t>
  </si>
  <si>
    <t xml:space="preserve">Boşluk / konu</t>
  </si>
  <si>
    <t xml:space="preserve">Hangi ilanlarda çıkıyor</t>
  </si>
  <si>
    <t xml:space="preserve">Aksiyon</t>
  </si>
  <si>
    <t xml:space="preserve">Süre</t>
  </si>
  <si>
    <t xml:space="preserve">Canlı ilan sayısı</t>
  </si>
  <si>
    <t xml:space="preserve">Almanca seviyesi (CV'de ‘Elementary’ yazıyor, gerçek B1/B2)</t>
  </si>
  <si>
    <t xml:space="preserve">Kritik</t>
  </si>
  <si>
    <t xml:space="preserve">İlanların ~%70'i Almanca; birçoğu ‘sehr gute Deutschkenntnisse’ (C1) istiyor</t>
  </si>
  <si>
    <t xml:space="preserve">CV'yi HEMEN güncelle: ‘German – B1/B2 (C1 in progress)’. ÖSD/Goethe B2 sertifikası al, C1 kursuna başla (AMS/WIFI/BFI finansmanı sor)</t>
  </si>
  <si>
    <t xml:space="preserve">1–2 hafta (CV) / 6–9 ay (C1)</t>
  </si>
  <si>
    <t xml:space="preserve">Almanca CV (Lebenslauf) + Anschreiben</t>
  </si>
  <si>
    <t xml:space="preserve">Almanca ilanlarda Almanca başvuru belgeleri beklenir</t>
  </si>
  <si>
    <t xml:space="preserve">Avusturya formatında Almanca CV (fotoğraf opsiyonel ama yaygın) + İngilizce CV</t>
  </si>
  <si>
    <t xml:space="preserve">1 hafta</t>
  </si>
  <si>
    <t xml:space="preserve">Microsoft Cloud (Azure, Entra ID, M365, Intune)</t>
  </si>
  <si>
    <t xml:space="preserve">Yüksek</t>
  </si>
  <si>
    <t xml:space="preserve">Palfinger, Salzburg AG, Schulmeister, CANCOM, Lagermax, TNT ilanlarında</t>
  </si>
  <si>
    <t xml:space="preserve">AZ-104 (Azure Administrator) → SC-300 (Identity) veya AZ-500 (Security); M365: MS-102</t>
  </si>
  <si>
    <t xml:space="preserve">2–4 ay</t>
  </si>
  <si>
    <t xml:space="preserve">ISO 27001:2022 Lead Auditor / Lead Implementer</t>
  </si>
  <si>
    <t xml:space="preserve">Mevcut: İç denetçi. Remote denetçi rolleri + ISMS Manager ilanlarında LA/LI isteniyor</t>
  </si>
  <si>
    <t xml:space="preserve">TÜV AUSTRIA ‘ISMS-Manager &amp; Auditor ISO 27001’ (Eyl–Ara 2026 tarihleri) veya PECB/BSI ISO 27001 Lead Auditor</t>
  </si>
  <si>
    <t xml:space="preserve">1–2 ay</t>
  </si>
  <si>
    <t xml:space="preserve">NIS-2 / DORA / TISAX bilgisi</t>
  </si>
  <si>
    <t xml:space="preserve">Salzburg AG, HAI, Spängler, AMAG ilanlarında</t>
  </si>
  <si>
    <t xml:space="preserve">NIS-2 &amp; DORA online kursları; ISO 27001 ↔ NIS-2 eşleştirme notu hazırla (mülakatta çok etkili)</t>
  </si>
  <si>
    <t xml:space="preserve">2–4 hafta</t>
  </si>
  <si>
    <t xml:space="preserve">PowerShell / otomasyon</t>
  </si>
  <si>
    <t xml:space="preserve">Orta</t>
  </si>
  <si>
    <t xml:space="preserve">dm, RAITEC, Lagermax, Uni Salzburg ilanlarında</t>
  </si>
  <si>
    <t xml:space="preserve">PowerShell ile AD/raporlama otomasyonu – GitHub'da 2-3 örnek script</t>
  </si>
  <si>
    <t xml:space="preserve">SIEM / SOC / Zafiyet yönetimi</t>
  </si>
  <si>
    <t xml:space="preserve">Red Bull Incident Mgmt, Wenatex, SPAR ICS</t>
  </si>
  <si>
    <t xml:space="preserve">Microsoft Sentinel/Defender (SC-200) veya Tenable/Qualys temel eğitim</t>
  </si>
  <si>
    <t xml:space="preserve">VMware / Enterprise storage</t>
  </si>
  <si>
    <t xml:space="preserve">conova</t>
  </si>
  <si>
    <t xml:space="preserve">VMware vSphere temel eğitim; Hyper-V/Proxmox deneyimini öne çıkar</t>
  </si>
  <si>
    <t xml:space="preserve">1 ay</t>
  </si>
  <si>
    <t xml:space="preserve">Kariyer boşluğu 2023–2026</t>
  </si>
  <si>
    <t xml:space="preserve">CV'de açıklanmamış</t>
  </si>
  <si>
    <t xml:space="preserve">‘Relocation to Austria, German language training, certifications’ şeklinde açıkla</t>
  </si>
  <si>
    <t xml:space="preserve">Hemen</t>
  </si>
  <si>
    <t xml:space="preserve">‘Head/CISO’ unvanı eksikliği</t>
  </si>
  <si>
    <t xml:space="preserve">Düşük</t>
  </si>
  <si>
    <t xml:space="preserve">KTM, CISO ilanları</t>
  </si>
  <si>
    <t xml:space="preserve">Inditex'teki 17.000 cihaz / 200+ mağaza sorumluluğunu ölçülebilir başarılarla anlat</t>
  </si>
  <si>
    <t xml:space="preserve">Linux (sadece eğitim)</t>
  </si>
  <si>
    <t xml:space="preserve">Salzburg AG (RHEL), Wüstenrot</t>
  </si>
  <si>
    <t xml:space="preserve">LFCS / RHCSA temel seviye veya Proxmox/Linux lab</t>
  </si>
  <si>
    <t xml:space="preserve">2–3 ay</t>
  </si>
  <si>
    <t xml:space="preserve">Intune / Microsoft 365 yönetimi</t>
  </si>
  <si>
    <t xml:space="preserve">Canlı ilanların çoğunda M365/Intune geçiyor</t>
  </si>
  <si>
    <t xml:space="preserve">MS-102 (Microsoft 365 Administrator) veya MD-102 (Endpoint Administrator)</t>
  </si>
  <si>
    <t xml:space="preserve">SAP (uygulama rolleri)</t>
  </si>
  <si>
    <t xml:space="preserve">SAP rolleri listeden çıkarıldı; kalan ilanlarda yan şart</t>
  </si>
  <si>
    <t xml:space="preserve">Hedef değil – gerekirse temel SAP Basis/rol kavramları</t>
  </si>
  <si>
    <t xml:space="preserve">4 HAFTALIK BAŞVURU PLANI</t>
  </si>
  <si>
    <t xml:space="preserve">Hafta 1</t>
  </si>
  <si>
    <t xml:space="preserve">CV'yi güncelle (Almanca B1/B2, 2023–26 dönemi açıklaması) · İngilizce + Almanca CV · 'A – Hemen başvur' listesi (önce İngilizce roller: Red Bull, SKIDATA, TransUnion, Amer Sports, Palfinger)</t>
  </si>
  <si>
    <t xml:space="preserve">Hafta 1–2</t>
  </si>
  <si>
    <t xml:space="preserve">Personel danışmanlarını ara: HR Consulting Schöffmann (IT-Sicherheitsarchitekt), KERN, Rehrl+Partner (Leitung IT-Infrastruktur), ip50 · AMS kaydı</t>
  </si>
  <si>
    <t xml:space="preserve">Hafta 2–3</t>
  </si>
  <si>
    <t xml:space="preserve">'B – Başvur' listesi · Almanca ilanlar için Almanca Anschreiben · başvurmadan önce linki aç</t>
  </si>
  <si>
    <t xml:space="preserve">Hafta 3–4</t>
  </si>
  <si>
    <t xml:space="preserve">ISO 27001 Lead Auditor/Implementer · AZ-104 veya MS-102 · Almanca C1 kursu (AMS finanse edebilir)</t>
  </si>
  <si>
    <t xml:space="preserve">Her hafta</t>
  </si>
  <si>
    <t xml:space="preserve">Bu Excel'i yeniden tarat (ilanlar 2–6 haftada kapanıyor)</t>
  </si>
  <si>
    <t xml:space="preserve">Maaş Referansları (bu taramadaki ilanlardan) ve Metodoloji</t>
  </si>
  <si>
    <t xml:space="preserve">Konu</t>
  </si>
  <si>
    <t xml:space="preserve">Değer</t>
  </si>
  <si>
    <t xml:space="preserve">Kaynak / not</t>
  </si>
  <si>
    <t xml:space="preserve">Tüm ilanlar (maaş belirtilen)</t>
  </si>
  <si>
    <t xml:space="preserve">medyan ~€56k · aralık €24k–100k · n=85</t>
  </si>
  <si>
    <t xml:space="preserve">İlanlarda yazan alt sınır (yıllık brüt, 14 maaş); KV-asgari-only ilanlar hariç</t>
  </si>
  <si>
    <t xml:space="preserve">Cyber Security / ISMS</t>
  </si>
  <si>
    <t xml:space="preserve">medyan ~€57k · aralık €46k–70k · n=19</t>
  </si>
  <si>
    <t xml:space="preserve">IT yönetimi / servis / proje</t>
  </si>
  <si>
    <t xml:space="preserve">medyan ~€63k · aralık €48k–100k · n=12</t>
  </si>
  <si>
    <t xml:space="preserve">medyan ~€55k · aralık €24k–80k · n=27</t>
  </si>
  <si>
    <t xml:space="preserve">medyan ~€49k · aralık €35k–60k · n=9</t>
  </si>
  <si>
    <t xml:space="preserve">Profile uygun hedef aralık</t>
  </si>
  <si>
    <t xml:space="preserve">€55.000–80.000/yıl brüt</t>
  </si>
  <si>
    <t xml:space="preserve">Bu listedeki yönetici/ISMS ilanları: Schöffmann €65–95k, KERN €70k+, x-tention €65k+, Rehrl+Partner €100k+, KTM €82k+</t>
  </si>
  <si>
    <t xml:space="preserve">Not</t>
  </si>
  <si>
    <t xml:space="preserve">İlandaki rakam genelde ALT sınırdır; deneyimle pazarlık edilir</t>
  </si>
  <si>
    <t xml:space="preserve">Avusturya'da maaş bildirimi zorunlu (Gleichbehandlungsgesetz §9)</t>
  </si>
  <si>
    <t xml:space="preserve">Metodoloji</t>
  </si>
  <si>
    <t xml:space="preserve">• Tarama tarihi: 27.09.2026. Kaynaklar: karriere.at (JSON arama API'si, tüm sayfalar), LinkedIn guest jobs API (Salzburg 50 km, son 30 gün), Red Bull resmi iş API'si (jobs.redbull.com), ACP başvuru portalı.</t>
  </si>
  <si>
    <t xml:space="preserve">• Her ilan için tam metin çekildi (karriere.at JobPosting JSON-LD, LinkedIn ilan açıklaması). Dil şartı, gereksinimler, beceri eşleşmesi ve eksikler bu metinden kural tabanlı okundu; maaş ilandaki rakamdan.</t>
  </si>
  <si>
    <t xml:space="preserve">• Tekrarlar (aynı ilan karriere.at + LinkedIn) birleştirildi; diğer kopya 'Yedek link' sütununda. Red Bull ilanlarında resmi portal linki ana link yapıldı.</t>
  </si>
  <si>
    <t xml:space="preserve">• Link testi: HTTP 200 + ilan sayfasının kendisi (arama sayfasına yönlenme yok) + sayfa başlığında pozisyon adı + LinkedIn'de 'No longer accepting applications' yok. Tüm ana ve yedek linkler geçti.</t>
  </si>
  <si>
    <t xml:space="preserve">• Eleme: yazılım geliştirme, veri mühendisliği/bilimi, SAP fonksiyonel danışmanlık, makine/elektrik mühendisliği, satış/pazarlama, IT dışı roller ve &gt;90 dk ulaşım ya da lokasyonu belirsiz ilanlar ('Elenen İlanlar' sayfasında gerekçeleriyle).</t>
  </si>
  <si>
    <t xml:space="preserve">• Puanlama: 6 kriter × 1–5; ağırlıklar Özet sayfasında. Teknik puan = rol ailesi tabanı + ilan metnindeki CV becerileri (+) − CV'de olmayan şartlar (−).</t>
  </si>
  <si>
    <t xml:space="preserve">Önceki Excel'deki ilanların 27.09.2026 canlı kontrolü (hatalar burada düzeltildi)</t>
  </si>
  <si>
    <t xml:space="preserve">Her eski link tek tek açıldı + canlı taramayla eşleştirildi. CANLI olanlar yeni İlanlar sayfasında (doğru linkle). Diğerlerine BAŞVURMA.</t>
  </si>
  <si>
    <t xml:space="preserve">Firma (eski)</t>
  </si>
  <si>
    <t xml:space="preserve">Pozisyon (eski)</t>
  </si>
  <si>
    <t xml:space="preserve">Yeni durum</t>
  </si>
  <si>
    <t xml:space="preserve">Kanıt</t>
  </si>
  <si>
    <t xml:space="preserve">Eski link</t>
  </si>
  <si>
    <t xml:space="preserve">Doğru / yeni link</t>
  </si>
  <si>
    <t xml:space="preserve">Önceden hazırlanan CV + ön yazı</t>
  </si>
  <si>
    <t xml:space="preserve">PALFINGER AG</t>
  </si>
  <si>
    <t xml:space="preserve">Infrastructure Operations Manager (m/f/d)</t>
  </si>
  <si>
    <t xml:space="preserve">KAPALI</t>
  </si>
  <si>
    <t xml:space="preserve">Eski link genel kariyer sayfasına yönleniyor; karriere.at + LinkedIn canlı taramasında yok</t>
  </si>
  <si>
    <t xml:space="preserve">https://www.palfinger.com/en-mx/career/jobs/infrastructure-operations-manager-m/f/d_k_876428</t>
  </si>
  <si>
    <t xml:space="preserve">Evet – artık GEÇERSİZ</t>
  </si>
  <si>
    <t xml:space="preserve">Wüstenrot Gruppe</t>
  </si>
  <si>
    <t xml:space="preserve">Information Security Manager:in (m/w/d)</t>
  </si>
  <si>
    <t xml:space="preserve">Eski link HTTP 404; canlı taramada yok</t>
  </si>
  <si>
    <t xml:space="preserve">https://www.wuestenrot.at/de/ueber-uns/karriere/offene-stellen/information-security-manager-in-m-w-d.html</t>
  </si>
  <si>
    <t xml:space="preserve">Insight Assurance</t>
  </si>
  <si>
    <t xml:space="preserve">ISO 27001 Senior Auditor – EMEA (remote)</t>
  </si>
  <si>
    <t xml:space="preserve">Greenhouse ilan sayfası kaldırılmış (error=true)</t>
  </si>
  <si>
    <t xml:space="preserve">https://job-boards.greenhouse.io/insightassurance/jobs/5032616008</t>
  </si>
  <si>
    <t xml:space="preserve">IT Project Manager (ICT Infrastructure)</t>
  </si>
  <si>
    <t xml:space="preserve">Eski link genel kariyer sayfasına yönleniyor; canlı taramada yok</t>
  </si>
  <si>
    <t xml:space="preserve">https://www.palfinger.com/en-us/career/jobs/it-project-manager-w/m/d_k_1736785</t>
  </si>
  <si>
    <t xml:space="preserve">Red Bull GmbH</t>
  </si>
  <si>
    <t xml:space="preserve">Service Manager – Server &amp; Cloud Security</t>
  </si>
  <si>
    <t xml:space="preserve">İlan sayfası ‘kapandı’ gösteriyor; Red Bull resmi API'sinde yok</t>
  </si>
  <si>
    <t xml:space="preserve">https://jobs.smartrecruiters.com/RedBull/744000131403389-service-manager-server-cloud-security</t>
  </si>
  <si>
    <t xml:space="preserve">Experte:in Information Security (m/w/d)</t>
  </si>
  <si>
    <t xml:space="preserve">Eski link HTTP 404</t>
  </si>
  <si>
    <t xml:space="preserve">https://www.wuestenrot.at/de/ueber-uns/karriere/offene-stellen/experte-in-information-security-m-w-d.html</t>
  </si>
  <si>
    <t xml:space="preserve">Staff ISO 27001 Auditor – EMEA (remote)</t>
  </si>
  <si>
    <t xml:space="preserve">Greenhouse ilan sayfası kaldırılmış</t>
  </si>
  <si>
    <t xml:space="preserve">https://job-boards.greenhouse.io/insightassurance/jobs/5032737008</t>
  </si>
  <si>
    <t xml:space="preserve">KERN engineering careers (müşteri firma)</t>
  </si>
  <si>
    <t xml:space="preserve">Information Security Consultant / Projektleitung Informationssicherheit</t>
  </si>
  <si>
    <t xml:space="preserve">CANLI – yeni listede</t>
  </si>
  <si>
    <t xml:space="preserve">karriere.at'te canlı</t>
  </si>
  <si>
    <t xml:space="preserve">https://www.it-career.at/68428/0/Information-Security-Consultant-(w-m-d)</t>
  </si>
  <si>
    <t xml:space="preserve">https://www.karriere.at/jobs/senoplast</t>
  </si>
  <si>
    <t xml:space="preserve">TECHSEARCH (müşteri: ~200 çalışanlı Salzburg firması)</t>
  </si>
  <si>
    <t xml:space="preserve">IT-Teamleiter:in</t>
  </si>
  <si>
    <t xml:space="preserve">ESKİ İLAN (2023)</t>
  </si>
  <si>
    <t xml:space="preserve">İlan verisi: yayın 16.01.2023, bitiş 17.03.2023 – 3,5 yıllık ilan</t>
  </si>
  <si>
    <t xml:space="preserve">LinkedIn'de canlı (başvuru açık)</t>
  </si>
  <si>
    <t xml:space="preserve">https://www.karriere.at/jobs/7762442</t>
  </si>
  <si>
    <t xml:space="preserve">Evet – GEÇERLİ ✓</t>
  </si>
  <si>
    <t xml:space="preserve">Global Service Performance Manager</t>
  </si>
  <si>
    <t xml:space="preserve">İlan sayfası ‘kapandı’ gösteriyor</t>
  </si>
  <si>
    <t xml:space="preserve">https://www.skidata.com/jobs/career/global-service-performance-manager-49574-en_us</t>
  </si>
  <si>
    <t xml:space="preserve">Service Manager – Security Incident Management</t>
  </si>
  <si>
    <t xml:space="preserve">Eski link HTTP 410 (Gone); Red Bull resmi API'sinde yok</t>
  </si>
  <si>
    <t xml:space="preserve">https://jobs.redbull.com/at-de/elsbethen-service-manager-security-incident-management--ref28783m?lang=en</t>
  </si>
  <si>
    <t xml:space="preserve">Infrastructure Architect</t>
  </si>
  <si>
    <t xml:space="preserve">SmartRecruiters sayfası ‘kapandı’; resmi API'de yok</t>
  </si>
  <si>
    <t xml:space="preserve">https://jobs.smartrecruiters.com/RedBull/744000132364914-infrastructure-architect</t>
  </si>
  <si>
    <t xml:space="preserve">Hammerer Aluminium Industries (HAI)</t>
  </si>
  <si>
    <t xml:space="preserve">Information Security &amp; Compliance Specialist – NIS-2 / TISAX (Cyber Security Koordinator)</t>
  </si>
  <si>
    <t xml:space="preserve">https://hai.jobs/professionals/category/it/4cf6fa25-934c-58f4-a639-8b41841f3043</t>
  </si>
  <si>
    <t xml:space="preserve">Head of IT Infrastructure &amp; Operations</t>
  </si>
  <si>
    <t xml:space="preserve">https://jobs-at.ktm.com/Job/4319/Head-of-IT-Infrastructure--Operations</t>
  </si>
  <si>
    <t xml:space="preserve">conova communications GmbH</t>
  </si>
  <si>
    <t xml:space="preserve">Senior Systems Engineer – Virtualisierung, Datensicherung &amp; Storage</t>
  </si>
  <si>
    <t xml:space="preserve">BULUNAMADI</t>
  </si>
  <si>
    <t xml:space="preserve">Link genel kariyer sayfasına gidiyor, ilan yok; canlı taramada yok</t>
  </si>
  <si>
    <t xml:space="preserve">https://www.conova.com/karriere/</t>
  </si>
  <si>
    <t xml:space="preserve">https://x-tention.com/de-AT/job/senior-cyber-security-consultant-project-manager-mwd</t>
  </si>
  <si>
    <t xml:space="preserve">IT System Engineer (mwd)</t>
  </si>
  <si>
    <t xml:space="preserve">https://www.skidata.com/jobs/career/it-system-engineer-mwd-40865-en_us</t>
  </si>
  <si>
    <t xml:space="preserve">Systemadministrator:in (Windows) – müşteri lokasyonunda</t>
  </si>
  <si>
    <t xml:space="preserve">Link karriere.at arama sayfasına yönleniyor (= ilan kapandı)</t>
  </si>
  <si>
    <t xml:space="preserve">https://www.karriere.at/jobs/7818677</t>
  </si>
  <si>
    <t xml:space="preserve">Staff Auditor ISO 27001 (Almanca konuşan, Avrupa remote)</t>
  </si>
  <si>
    <t xml:space="preserve">https://job-boards.greenhouse.io/insightassurance/jobs/4887871008</t>
  </si>
  <si>
    <t xml:space="preserve">Junior/Senior Spezialist:in Cybersecurity Beratung</t>
  </si>
  <si>
    <t xml:space="preserve">CANLI – yeni listede (yeni link)</t>
  </si>
  <si>
    <t xml:space="preserve">Eski link 404, ilan karriere.at'te yeni numarayla canlı</t>
  </si>
  <si>
    <t xml:space="preserve">https://bewerbung.kpmg.at/stellenausschreiben/56</t>
  </si>
  <si>
    <t xml:space="preserve">Lam Research Salzburg</t>
  </si>
  <si>
    <t xml:space="preserve">IT Support / Systems Administrator (all genders)</t>
  </si>
  <si>
    <t xml:space="preserve">Link kariyer ana sayfasına yönleniyor</t>
  </si>
  <si>
    <t xml:space="preserve">https://careers.lamresearch.com/job/Salzburg-IT-Support-Systems-Administrator-(all-genders)/1198235600/</t>
  </si>
  <si>
    <t xml:space="preserve">BMW Austria GmbH</t>
  </si>
  <si>
    <t xml:space="preserve">Specialist Information Security &amp; OPRisk Management</t>
  </si>
  <si>
    <t xml:space="preserve">Link yanıt vermiyor; canlı taramada yok</t>
  </si>
  <si>
    <t xml:space="preserve">https://www.bmwgroup.jobs/en/jobfinder/job-description-copy.129634.html</t>
  </si>
  <si>
    <t xml:space="preserve">Teamlead Application Management Operations</t>
  </si>
  <si>
    <t xml:space="preserve">Link genel kariyer sayfasına yönleniyor</t>
  </si>
  <si>
    <t xml:space="preserve">https://www.palfinger.com/us/en/career/jobs/teamlead-application-management-operations--m-f-d-_6863.html</t>
  </si>
  <si>
    <t xml:space="preserve">IT-Leiter (Interim)</t>
  </si>
  <si>
    <t xml:space="preserve">İLAN DEĞİL</t>
  </si>
  <si>
    <t xml:space="preserve">Firma profil sayfası, somut ilan yok</t>
  </si>
  <si>
    <t xml:space="preserve">https://www.karriere.at/f/gointerim</t>
  </si>
  <si>
    <t xml:space="preserve">grinnberg (müşteri firma)</t>
  </si>
  <si>
    <t xml:space="preserve">(Inhouse) Senior Netzwerkadministrator (w/m/x)</t>
  </si>
  <si>
    <t xml:space="preserve">ESKİ İLAN (2024)</t>
  </si>
  <si>
    <t xml:space="preserve">İlan verisi: yayın 07.11.2024, bitiş 28.04.2025</t>
  </si>
  <si>
    <t xml:space="preserve">https://www.grinnberg.de/it-job/job-inhouse-senior-netzwerkadministrator-w-m-x-im-raum-salzburg-id21081</t>
  </si>
  <si>
    <t xml:space="preserve">Salzburg AG</t>
  </si>
  <si>
    <t xml:space="preserve">https://karriere.salzburg-ag.at/Firewall-Network-Security-Engineer-all-genders-de-j2688.html</t>
  </si>
  <si>
    <t xml:space="preserve">solbytech GmbH</t>
  </si>
  <si>
    <t xml:space="preserve">IT-Security Specialist (m/w/d, 30 saat+)</t>
  </si>
  <si>
    <t xml:space="preserve">Genel kariyer sayfası, ilan yok</t>
  </si>
  <si>
    <t xml:space="preserve">https://solbytech.at/unternehmen/jobs/</t>
  </si>
  <si>
    <t xml:space="preserve">SPAR ICS</t>
  </si>
  <si>
    <t xml:space="preserve">Security Consultant – Vulnerability &amp; Exposure Management</t>
  </si>
  <si>
    <t xml:space="preserve">Eski link 403; karriere.at'te canlı</t>
  </si>
  <si>
    <t xml:space="preserve">https://www.spar-ics.com/de/career/offene-stellen-consulting</t>
  </si>
  <si>
    <t xml:space="preserve">DORIDA GmbH</t>
  </si>
  <si>
    <t xml:space="preserve">DORA Consultant (m/w/d)</t>
  </si>
  <si>
    <t xml:space="preserve">Genel kariyer sayfası, somut ilan yok</t>
  </si>
  <si>
    <t xml:space="preserve">https://www.dorida.at/karriere/</t>
  </si>
  <si>
    <t xml:space="preserve">Bankhaus Spängler</t>
  </si>
  <si>
    <t xml:space="preserve">Senior IT-Techniker:in</t>
  </si>
  <si>
    <t xml:space="preserve">https://www.spaengler.at/bankhaus/karriere/senior-it-technikerin-74/</t>
  </si>
  <si>
    <t xml:space="preserve">ACP portalında canlı (ilk yayın 29.12.2025)</t>
  </si>
  <si>
    <t xml:space="preserve">EV Group (EVG)</t>
  </si>
  <si>
    <t xml:space="preserve">IT Administrator (m/w/x) für Domain und Groupware Services</t>
  </si>
  <si>
    <t xml:space="preserve">https://www.evgroup.com/de/karriere/jobs/it-administrator-mwx-fuer-domain-und-groupware-services-1</t>
  </si>
  <si>
    <t xml:space="preserve">NTS Netzwerk Telekom Service AG</t>
  </si>
  <si>
    <t xml:space="preserve">Senior Systems Engineer Network (m/w/d)</t>
  </si>
  <si>
    <t xml:space="preserve">Eski link 404; karriere.at'te canlı</t>
  </si>
  <si>
    <t xml:space="preserve">https://www.nts.eu/de/job/senior-systems-engineer-network-m-w-d/</t>
  </si>
  <si>
    <t xml:space="preserve">grinnberg (müşteri: krize dayanıklı firma)</t>
  </si>
  <si>
    <t xml:space="preserve">İlan verisi: yayın 06.11.2024, bitiş 27.04.2025</t>
  </si>
  <si>
    <t xml:space="preserve">https://www.grinnberg.de/it-job/job-it-job-als-systemadministrator-im-raum-salzburg-m-w-d-it-administrator-m-w-d-id21067</t>
  </si>
  <si>
    <t xml:space="preserve">IT-Systemspezialist/in für klinische Informationssysteme</t>
  </si>
  <si>
    <t xml:space="preserve">https://www.sanitas.at/karriere/it-systemspezialistenin-fuer-klinische-informationssysteme-mwd</t>
  </si>
  <si>
    <t xml:space="preserve">Otto Austria Group GmbH</t>
  </si>
  <si>
    <t xml:space="preserve">Information Security Specialist – SIEM (Threat Detection &amp; Incident Response)</t>
  </si>
  <si>
    <t xml:space="preserve">Sayfada ilan içeriği yok; canlı taramada yok</t>
  </si>
  <si>
    <t xml:space="preserve">https://www.ottogroup.com/en/careers/job/03573527/information-security-specialist-m-w-d-</t>
  </si>
  <si>
    <t xml:space="preserve">Presales Consultant Security</t>
  </si>
  <si>
    <t xml:space="preserve">https://jobs.cancom.com/</t>
  </si>
  <si>
    <t xml:space="preserve">Messezentrum Salzburg GmbH</t>
  </si>
  <si>
    <t xml:space="preserve">IT (Data Mgmt, IT-PM, Application Mgmt – Jira/Confluence/MS Dynamics)</t>
  </si>
  <si>
    <t xml:space="preserve">https://messezentrum-salzburg-gmbh.jobs.personio.de/?language=de</t>
  </si>
  <si>
    <t xml:space="preserve">CANCOM Austria AG (eski Kapsch BusinessCom)</t>
  </si>
  <si>
    <t xml:space="preserve">System Engineer Network/Security (Junior oder Professional Level)</t>
  </si>
  <si>
    <t xml:space="preserve">Eski link HTTP 410 (Gone)</t>
  </si>
  <si>
    <t xml:space="preserve">https://jobs.cancom.com/System-Engineer-NetworkSecurity-wm-Junior-oder-Professiona-de-j69.html</t>
  </si>
  <si>
    <t xml:space="preserve">Consultant Microsoft Security (Azure / M365)</t>
  </si>
  <si>
    <t xml:space="preserve">https://www.kern-partner.at/jobs/job/214500.html</t>
  </si>
  <si>
    <t xml:space="preserve">Senior IT Systems Engineer – Windows</t>
  </si>
  <si>
    <t xml:space="preserve">Red Bull resmi API'sinde (Avusturya 94 ilan) yok; karriere.at/LinkedIn'de yok</t>
  </si>
  <si>
    <t xml:space="preserve">Taramada bulunan ama profile uymadığı / ulaşım nedeniyle listeye alınmayan ilanlar (114)</t>
  </si>
  <si>
    <t xml:space="preserve">Şeffaflık için: bunların linkleri de canlıdır; ilgini çeken olursa İlanlar'a taşıyıp puanlayabilirim.</t>
  </si>
  <si>
    <t xml:space="preserve">Neden elendi</t>
  </si>
  <si>
    <t xml:space="preserve">ABB</t>
  </si>
  <si>
    <t xml:space="preserve">Technical Support (w/m/d)</t>
  </si>
  <si>
    <t xml:space="preserve">Profil / IT altyapı-güvenlik dışı (yazılım, veri, SAP fonksiyonel, mühendislik, satış vb.)</t>
  </si>
  <si>
    <t xml:space="preserve">https://www.linkedin.com/jobs/view/4437084635</t>
  </si>
  <si>
    <t xml:space="preserve">ABB Group</t>
  </si>
  <si>
    <t xml:space="preserve">SAP Solution Consultant - Supply Chain (w/m/d)</t>
  </si>
  <si>
    <t xml:space="preserve">Eggelsberg</t>
  </si>
  <si>
    <t xml:space="preserve">https://www.karriere.at/jobs/7874020</t>
  </si>
  <si>
    <t xml:space="preserve">Procurement Project &amp; Process Specialist (m/f/d)</t>
  </si>
  <si>
    <t xml:space="preserve">https://www.karriere.at/jobs/7875784</t>
  </si>
  <si>
    <t xml:space="preserve">ADMIRAL Technologies</t>
  </si>
  <si>
    <t xml:space="preserve">Data Engineer - Focus Apache Flink (m/f/x)</t>
  </si>
  <si>
    <t xml:space="preserve">Wien, Attnang-Puchheim, Gumpoldskirchen</t>
  </si>
  <si>
    <t xml:space="preserve">https://www.karriere.at/jobs/7822022</t>
  </si>
  <si>
    <t xml:space="preserve">AIT Austrian Institute of Technology</t>
  </si>
  <si>
    <t xml:space="preserve">Technician (w/m/d) OT &amp; Industrial IOT Infrastructure</t>
  </si>
  <si>
    <t xml:space="preserve">Neukirchen an der Enknach, Upper Austria, Austria</t>
  </si>
  <si>
    <t xml:space="preserve">https://www.linkedin.com/jobs/view/4466325016</t>
  </si>
  <si>
    <t xml:space="preserve">ALDI SÜD HOLDING</t>
  </si>
  <si>
    <t xml:space="preserve">Operational Risk Management Professional (m/w/d)</t>
  </si>
  <si>
    <t xml:space="preserve">https://www.linkedin.com/jobs/view/4444703590</t>
  </si>
  <si>
    <t xml:space="preserve">Air Ambulance Technology Gesellschaft m.b.H.</t>
  </si>
  <si>
    <t xml:space="preserve">Design Engineer / System Engineer Aviation (m/w/d)</t>
  </si>
  <si>
    <t xml:space="preserve">https://www.karriere.at/jobs/10029755</t>
  </si>
  <si>
    <t xml:space="preserve">Ashfield Healthcare GmbH (Inizio Engage Business Unit) - Inizio group company</t>
  </si>
  <si>
    <t xml:space="preserve">Projektleitung (m/w/d)</t>
  </si>
  <si>
    <t xml:space="preserve">https://www.karriere.at/jobs/7856702</t>
  </si>
  <si>
    <t xml:space="preserve">Senior SAP Logistics Consulting</t>
  </si>
  <si>
    <t xml:space="preserve">Graz, Linz, Salzburg, Wien</t>
  </si>
  <si>
    <t xml:space="preserve">https://www.karriere.at/jobs/7860949</t>
  </si>
  <si>
    <t xml:space="preserve">BIOGENA GROUP</t>
  </si>
  <si>
    <t xml:space="preserve">Digital Brand &amp; Growth Manager:in (m/w/d)</t>
  </si>
  <si>
    <t xml:space="preserve">https://www.karriere.at/jobs/7880563</t>
  </si>
  <si>
    <t xml:space="preserve">Embedded Software Engineer (m/w/d)</t>
  </si>
  <si>
    <t xml:space="preserve">Mondsee</t>
  </si>
  <si>
    <t xml:space="preserve">https://www.karriere.at/jobs/7876831</t>
  </si>
  <si>
    <t xml:space="preserve">Bilfinger Life Science</t>
  </si>
  <si>
    <t xml:space="preserve">Head of Design Engineering (w/m/d)</t>
  </si>
  <si>
    <t xml:space="preserve">Puch bei Hallein, Salzburg, Austria</t>
  </si>
  <si>
    <t xml:space="preserve">https://www.linkedin.com/jobs/view/4455855392</t>
  </si>
  <si>
    <t xml:space="preserve">Senior Projektleiter (m/w/d)</t>
  </si>
  <si>
    <t xml:space="preserve">https://www.linkedin.com/jobs/view/4450088259</t>
  </si>
  <si>
    <t xml:space="preserve">Binderholz GmbH</t>
  </si>
  <si>
    <t xml:space="preserve">Global Head Master Data Management &amp; SAP Business Partner (m/w/d)</t>
  </si>
  <si>
    <t xml:space="preserve">Hallein, Oberrot, Fügen</t>
  </si>
  <si>
    <t xml:space="preserve">https://www.karriere.at/jobs/10031230</t>
  </si>
  <si>
    <t xml:space="preserve">Data Engineer (w/m/*)</t>
  </si>
  <si>
    <t xml:space="preserve">https://www.karriere.at/jobs/7869433</t>
  </si>
  <si>
    <t xml:space="preserve">Data Consultant (w/m/*)</t>
  </si>
  <si>
    <t xml:space="preserve">https://www.karriere.at/jobs/7869436</t>
  </si>
  <si>
    <t xml:space="preserve">CATRO Management Services GmbH Büro Catro Graz</t>
  </si>
  <si>
    <t xml:space="preserve">Business Analyst Finance &amp; Credit | Project Coordination (m/f/d)</t>
  </si>
  <si>
    <t xml:space="preserve">https://www.karriere.at/jobs/7878877</t>
  </si>
  <si>
    <t xml:space="preserve">Cloudunify FlexCo</t>
  </si>
  <si>
    <t xml:space="preserve">ERP Consultant für Odoo (m/w/d)</t>
  </si>
  <si>
    <t xml:space="preserve">https://www.karriere.at/jobs/10030341</t>
  </si>
  <si>
    <t xml:space="preserve">DL Remote</t>
  </si>
  <si>
    <t xml:space="preserve">Senior Platform Architect</t>
  </si>
  <si>
    <t xml:space="preserve">https://www.linkedin.com/jobs/view/4465125774</t>
  </si>
  <si>
    <t xml:space="preserve">Senior Consultant (all genders) SAP S/4HANA Cloud Transformation Expert</t>
  </si>
  <si>
    <t xml:space="preserve">Österreich</t>
  </si>
  <si>
    <t xml:space="preserve">https://www.karriere.at/jobs/7872928</t>
  </si>
  <si>
    <t xml:space="preserve">Manager (all genders) SAP S/4HANA Cloud Transformation Architect</t>
  </si>
  <si>
    <t xml:space="preserve">https://www.karriere.at/jobs/7872931</t>
  </si>
  <si>
    <t xml:space="preserve">Senior Consultant (all genders) SAP Analytics &amp; Reporting</t>
  </si>
  <si>
    <t xml:space="preserve">https://www.karriere.at/jobs/7872925</t>
  </si>
  <si>
    <t xml:space="preserve">(Associate) Manager (all genders) Audit mit Fokus Private &amp; Midmarket</t>
  </si>
  <si>
    <t xml:space="preserve">https://www.linkedin.com/jobs/view/4463472437</t>
  </si>
  <si>
    <t xml:space="preserve">AI Solutions Lead – Business Analyst (m/w/d)</t>
  </si>
  <si>
    <t xml:space="preserve">https://www.karriere.at/jobs/10031055</t>
  </si>
  <si>
    <t xml:space="preserve">GE Healthcare Austria GmbH &amp; Co OG</t>
  </si>
  <si>
    <t xml:space="preserve">Software Engineer (m/f/d)</t>
  </si>
  <si>
    <t xml:space="preserve">Zipf</t>
  </si>
  <si>
    <t xml:space="preserve">https://www.karriere.at/jobs/10029112</t>
  </si>
  <si>
    <t xml:space="preserve">HARGASSNER Ges mbH</t>
  </si>
  <si>
    <t xml:space="preserve">Product Owner &amp; Softwarearchitekt für EoL Prüfstände (m/w/d)</t>
  </si>
  <si>
    <t xml:space="preserve">https://www.karriere.at/jobs/7821854</t>
  </si>
  <si>
    <t xml:space="preserve">Systembetreuer Produktionsanlagen (m/w/d)</t>
  </si>
  <si>
    <t xml:space="preserve">https://www.karriere.at/jobs/7875937</t>
  </si>
  <si>
    <t xml:space="preserve">Projektleiter:in Industrialisierungsprojekte (m/w/d)</t>
  </si>
  <si>
    <t xml:space="preserve">https://www.linkedin.com/jobs/view/4461166223</t>
  </si>
  <si>
    <t xml:space="preserve">Hubers Landhendl GmbH</t>
  </si>
  <si>
    <t xml:space="preserve">OT-Engineer (m/w/d)</t>
  </si>
  <si>
    <t xml:space="preserve">Pfaffstätt</t>
  </si>
  <si>
    <t xml:space="preserve">https://www.karriere.at/jobs/7873969</t>
  </si>
  <si>
    <t xml:space="preserve">ILF Consulting Engineers in Austria</t>
  </si>
  <si>
    <t xml:space="preserve">Projektmanager:in Verkehr</t>
  </si>
  <si>
    <t xml:space="preserve">Upper Austria, Austria</t>
  </si>
  <si>
    <t xml:space="preserve">https://www.linkedin.com/jobs/view/4089986109</t>
  </si>
  <si>
    <t xml:space="preserve">Imagine The Future Consulting Ltd</t>
  </si>
  <si>
    <t xml:space="preserve">Commissioning Engineer</t>
  </si>
  <si>
    <t xml:space="preserve">https://www.linkedin.com/jobs/view/4462836961</t>
  </si>
  <si>
    <t xml:space="preserve">Jaguar Land Rover Austria GmbH</t>
  </si>
  <si>
    <t xml:space="preserve">Client Experience Manager (m/w/d)</t>
  </si>
  <si>
    <t xml:space="preserve">https://www.karriere.at/jobs/7868944</t>
  </si>
  <si>
    <t xml:space="preserve">Job World GmbH</t>
  </si>
  <si>
    <t xml:space="preserve">Qualification Engineer für Pharmabranche (m/w/d)</t>
  </si>
  <si>
    <t xml:space="preserve">Linz, Wels, Salzburg</t>
  </si>
  <si>
    <t xml:space="preserve">https://www.karriere.at/jobs/7857248</t>
  </si>
  <si>
    <t xml:space="preserve">KISKA</t>
  </si>
  <si>
    <t xml:space="preserve">Digital Project Manager – Smart Home &amp; Building Technology</t>
  </si>
  <si>
    <t xml:space="preserve">https://www.linkedin.com/jobs/view/4428102319</t>
  </si>
  <si>
    <t xml:space="preserve">AI Solutions &amp; Adoption Specialist*</t>
  </si>
  <si>
    <t xml:space="preserve">https://www.karriere.at/jobs/7879915</t>
  </si>
  <si>
    <t xml:space="preserve">Head of Digital Customer Solutions*</t>
  </si>
  <si>
    <t xml:space="preserve">https://www.karriere.at/jobs/7855409</t>
  </si>
  <si>
    <t xml:space="preserve">QA / Test Automation Engineer*</t>
  </si>
  <si>
    <t xml:space="preserve">Mattighofen, Linz</t>
  </si>
  <si>
    <t xml:space="preserve">https://www.karriere.at/jobs/7878637</t>
  </si>
  <si>
    <t xml:space="preserve">Keygroup Schließ- und Sicherheitssysteme</t>
  </si>
  <si>
    <t xml:space="preserve">Sicherheitstechniker</t>
  </si>
  <si>
    <t xml:space="preserve">Zell am See, Salzburg, Austria</t>
  </si>
  <si>
    <t xml:space="preserve">https://www.linkedin.com/jobs/view/4470922970</t>
  </si>
  <si>
    <t xml:space="preserve">Kirchmayr Planung GmbH</t>
  </si>
  <si>
    <t xml:space="preserve">Senior Architect (f/m/d)</t>
  </si>
  <si>
    <t xml:space="preserve">Pfarrwerfen, Salzburg, Austria</t>
  </si>
  <si>
    <t xml:space="preserve">https://www.linkedin.com/jobs/view/4461598939</t>
  </si>
  <si>
    <t xml:space="preserve">LOOP®</t>
  </si>
  <si>
    <t xml:space="preserve">Project Manager - Automotive</t>
  </si>
  <si>
    <t xml:space="preserve">https://www.linkedin.com/jobs/view/4470900390</t>
  </si>
  <si>
    <t xml:space="preserve">Lam Research</t>
  </si>
  <si>
    <t xml:space="preserve">Senior Manager Global Product Support (all genders)</t>
  </si>
  <si>
    <t xml:space="preserve">https://www.linkedin.com/jobs/view/4438324503</t>
  </si>
  <si>
    <t xml:space="preserve">Program/Project Manager (all genders)</t>
  </si>
  <si>
    <t xml:space="preserve">https://www.linkedin.com/jobs/view/4466848309</t>
  </si>
  <si>
    <t xml:space="preserve">Laboratory Service Engineer (all genders)</t>
  </si>
  <si>
    <t xml:space="preserve">https://www.linkedin.com/jobs/view/4458642524</t>
  </si>
  <si>
    <t xml:space="preserve">Manufacturing Engineer (all genders)</t>
  </si>
  <si>
    <t xml:space="preserve">https://www.linkedin.com/jobs/view/4466851271</t>
  </si>
  <si>
    <t xml:space="preserve">Louis Vuitton</t>
  </si>
  <si>
    <t xml:space="preserve">Seasonal Store Support Full Time (m/f/d)</t>
  </si>
  <si>
    <t xml:space="preserve">https://www.linkedin.com/jobs/view/4468681036</t>
  </si>
  <si>
    <t xml:space="preserve">MACO-Gruppe</t>
  </si>
  <si>
    <t xml:space="preserve">Teamleiter Data &amp; Analytics (m/w/d)</t>
  </si>
  <si>
    <t xml:space="preserve">https://www.karriere.at/jobs/10028647</t>
  </si>
  <si>
    <t xml:space="preserve">SAP Data Engineer (m/w/d)</t>
  </si>
  <si>
    <t xml:space="preserve">https://www.karriere.at/jobs/10028648</t>
  </si>
  <si>
    <t xml:space="preserve">SAP Cloud Transformation Expert (m/w/d)</t>
  </si>
  <si>
    <t xml:space="preserve">https://www.karriere.at/jobs/10028646</t>
  </si>
  <si>
    <t xml:space="preserve">Mateschitz Group</t>
  </si>
  <si>
    <t xml:space="preserve">Senior Project Manager Business (m/w/x)</t>
  </si>
  <si>
    <t xml:space="preserve">https://www.karriere.at/jobs/10032745</t>
  </si>
  <si>
    <t xml:space="preserve">MediaMarkt Österreich</t>
  </si>
  <si>
    <t xml:space="preserve">Mitarbeiter:in Kassa, Information &amp; Service (all gender)</t>
  </si>
  <si>
    <t xml:space="preserve">Vöcklabruck, Upper Austria, Austria</t>
  </si>
  <si>
    <t xml:space="preserve">https://www.linkedin.com/jobs/view/4464105063</t>
  </si>
  <si>
    <t xml:space="preserve">Michael Page International Austria GmbH</t>
  </si>
  <si>
    <t xml:space="preserve">Data Engineer (m/w/d)</t>
  </si>
  <si>
    <t xml:space="preserve">https://www.karriere.at/jobs/7873933</t>
  </si>
  <si>
    <t xml:space="preserve">Mechanical Design Engineer (m/f/d) Process Plant Engineering</t>
  </si>
  <si>
    <t xml:space="preserve">https://www.karriere.at/jobs/7853966</t>
  </si>
  <si>
    <t xml:space="preserve">Senior PLC Programmer (m/f/d) Process Plant Engineering</t>
  </si>
  <si>
    <t xml:space="preserve">https://www.karriere.at/jobs/7854044</t>
  </si>
  <si>
    <t xml:space="preserve">Process Engineer (m/f/d) Process Plant Engineering</t>
  </si>
  <si>
    <t xml:space="preserve">https://www.karriere.at/jobs/7853978</t>
  </si>
  <si>
    <t xml:space="preserve">Molecular Devices</t>
  </si>
  <si>
    <t xml:space="preserve">Systems Engineer (f/m/d)</t>
  </si>
  <si>
    <t xml:space="preserve">https://www.linkedin.com/jobs/view/4456934056</t>
  </si>
  <si>
    <t xml:space="preserve">NovaTaste Austria GmbH</t>
  </si>
  <si>
    <t xml:space="preserve">Data Engineer (w/m/d)</t>
  </si>
  <si>
    <t xml:space="preserve">Salzburg (Stadt), Salzburg-Umgebung (Bezirk)</t>
  </si>
  <si>
    <t xml:space="preserve">https://www.karriere.at/jobs/7857041</t>
  </si>
  <si>
    <t xml:space="preserve">ORBIS Austria GmbH</t>
  </si>
  <si>
    <t xml:space="preserve">(Senior) Cloud Consultant SAP SD (m/w/d)</t>
  </si>
  <si>
    <t xml:space="preserve">https://www.linkedin.com/jobs/view/4405982009</t>
  </si>
  <si>
    <t xml:space="preserve">(Senior) Cloud Consultant SAP SuccessFactors (m/w/d)</t>
  </si>
  <si>
    <t xml:space="preserve">https://www.linkedin.com/jobs/view/4405971076</t>
  </si>
  <si>
    <t xml:space="preserve">Product Data Management &amp; Governance Specialist (f/m/d)</t>
  </si>
  <si>
    <t xml:space="preserve">Köstendorf</t>
  </si>
  <si>
    <t xml:space="preserve">https://www.karriere.at/jobs/7871008</t>
  </si>
  <si>
    <t xml:space="preserve">Data Engineer (f/m/d)</t>
  </si>
  <si>
    <t xml:space="preserve">https://www.karriere.at/jobs/7869586</t>
  </si>
  <si>
    <t xml:space="preserve">Development Engineer - Service &amp; Diagnostic Tools (w/m/d)</t>
  </si>
  <si>
    <t xml:space="preserve">Lengau</t>
  </si>
  <si>
    <t xml:space="preserve">https://www.karriere.at/jobs/7865329</t>
  </si>
  <si>
    <t xml:space="preserve">Internal Auditor (f/m/d)</t>
  </si>
  <si>
    <t xml:space="preserve">https://www.linkedin.com/jobs/view/4448955908</t>
  </si>
  <si>
    <t xml:space="preserve">PORR Group</t>
  </si>
  <si>
    <t xml:space="preserve">Projektleiter*in Elektrotechnik</t>
  </si>
  <si>
    <t xml:space="preserve">https://www.linkedin.com/jobs/view/4471604803</t>
  </si>
  <si>
    <t xml:space="preserve">Internal Auditor im Bereich Retail (w/m/d) - Karenzvertretung</t>
  </si>
  <si>
    <t xml:space="preserve">https://www.linkedin.com/jobs/view/4445986761</t>
  </si>
  <si>
    <t xml:space="preserve">Consultant Accounting Systems (w/m/d)</t>
  </si>
  <si>
    <t xml:space="preserve">https://www.linkedin.com/jobs/view/4468680535</t>
  </si>
  <si>
    <t xml:space="preserve">Data Engineer – Data &amp; AI</t>
  </si>
  <si>
    <t xml:space="preserve">https://www.karriere.at/jobs/7874794</t>
  </si>
  <si>
    <t xml:space="preserve">SAP IBP Supply Chain Planning Manager</t>
  </si>
  <si>
    <t xml:space="preserve">https://www.karriere.at/jobs/7813721</t>
  </si>
  <si>
    <t xml:space="preserve">SAP Supply Chain Process &amp; Data Governance Specialist</t>
  </si>
  <si>
    <t xml:space="preserve">https://www.karriere.at/jobs/7804451</t>
  </si>
  <si>
    <t xml:space="preserve">Global HRIS Specialist (Talent Solutions)</t>
  </si>
  <si>
    <t xml:space="preserve">https://www.karriere.at/jobs/7876204</t>
  </si>
  <si>
    <t xml:space="preserve">Data &amp; AI Platform Architect</t>
  </si>
  <si>
    <t xml:space="preserve">https://www.karriere.at/jobs/7850174</t>
  </si>
  <si>
    <t xml:space="preserve">Product Manager - Event Infrastructure</t>
  </si>
  <si>
    <t xml:space="preserve">https://www.karriere.at/jobs/7837415</t>
  </si>
  <si>
    <t xml:space="preserve">Avionics Engineer</t>
  </si>
  <si>
    <t xml:space="preserve">https://www.linkedin.com/jobs/view/4420916639</t>
  </si>
  <si>
    <t xml:space="preserve">Junior Berater für Software &amp; Digitalisierung (m/w/d) im Bereich Energy</t>
  </si>
  <si>
    <t xml:space="preserve">https://www.karriere.at/jobs/7858523</t>
  </si>
  <si>
    <t xml:space="preserve">Senior Software Engineer Parking Access (m/f/d)</t>
  </si>
  <si>
    <t xml:space="preserve">Wals-Siezenheim</t>
  </si>
  <si>
    <t xml:space="preserve">https://www.karriere.at/jobs/7862350</t>
  </si>
  <si>
    <t xml:space="preserve">Senior Software Engineer (m/f/d)</t>
  </si>
  <si>
    <t xml:space="preserve">https://www.karriere.at/jobs/7863679</t>
  </si>
  <si>
    <t xml:space="preserve">Requirements Engineer Retail ERP (m/w/d)</t>
  </si>
  <si>
    <t xml:space="preserve">https://www.linkedin.com/jobs/view/4454701840</t>
  </si>
  <si>
    <t xml:space="preserve">IT Business Analyst - Retail Applications (m/w/d)</t>
  </si>
  <si>
    <t xml:space="preserve">https://www.karriere.at/jobs/7873108</t>
  </si>
  <si>
    <t xml:space="preserve">IT Support Engineer SAP Retail MM/SD (m/w/d)</t>
  </si>
  <si>
    <t xml:space="preserve">Salzburg (Stadt), St. Pölten</t>
  </si>
  <si>
    <t xml:space="preserve">https://www.karriere.at/jobs/7860679</t>
  </si>
  <si>
    <t xml:space="preserve">Product Lead Retail ERP (m/w/d)</t>
  </si>
  <si>
    <t xml:space="preserve">https://www.karriere.at/jobs/7879144</t>
  </si>
  <si>
    <t xml:space="preserve">SAP MM/SD Solution Consultant (m/w/d)</t>
  </si>
  <si>
    <t xml:space="preserve">https://www.karriere.at/jobs/7879126</t>
  </si>
  <si>
    <t xml:space="preserve">SPAR Österreich</t>
  </si>
  <si>
    <t xml:space="preserve">Mitarbeiter Security (m/w/d) 30-38,5 Std./Wo</t>
  </si>
  <si>
    <t xml:space="preserve">https://www.linkedin.com/jobs/view/4454790732</t>
  </si>
  <si>
    <t xml:space="preserve">IT Solution Engineer SAP (all genders)</t>
  </si>
  <si>
    <t xml:space="preserve">https://www.karriere.at/jobs/7805750</t>
  </si>
  <si>
    <t xml:space="preserve">Sandvik</t>
  </si>
  <si>
    <t xml:space="preserve">Standortkoordination &amp; Administration (w/m/d)</t>
  </si>
  <si>
    <t xml:space="preserve">Mittersill, Salzburg, Austria</t>
  </si>
  <si>
    <t xml:space="preserve">https://www.linkedin.com/jobs/view/4461151517</t>
  </si>
  <si>
    <t xml:space="preserve">Siemens</t>
  </si>
  <si>
    <t xml:space="preserve">Project Manager Grid Control Central Europe (f/m/d)</t>
  </si>
  <si>
    <t xml:space="preserve">https://www.linkedin.com/jobs/view/4460928679</t>
  </si>
  <si>
    <t xml:space="preserve">Siemens Energy</t>
  </si>
  <si>
    <t xml:space="preserve">Software- &amp; Inbetriebsetzungs-Engineer (m/w/d) für Wasserkraft Siemens Energy Salzburg</t>
  </si>
  <si>
    <t xml:space="preserve">https://www.linkedin.com/jobs/view/4441192157</t>
  </si>
  <si>
    <t xml:space="preserve">Event Architektur / Project Manager (m/w/d)</t>
  </si>
  <si>
    <t xml:space="preserve">https://www.karriere.at/jobs/10033802</t>
  </si>
  <si>
    <t xml:space="preserve">Projektmanager Supply Chain Management</t>
  </si>
  <si>
    <t xml:space="preserve">https://www.linkedin.com/jobs/view/4469451479</t>
  </si>
  <si>
    <t xml:space="preserve">The Flying Bulls</t>
  </si>
  <si>
    <t xml:space="preserve">Avionic Aircraft Engineer</t>
  </si>
  <si>
    <t xml:space="preserve">https://www.karriere.at/jobs/7839035</t>
  </si>
  <si>
    <t xml:space="preserve">UNTHA shredding technology GmbH</t>
  </si>
  <si>
    <t xml:space="preserve">Technischer Support Elektrotechnik – E-Support</t>
  </si>
  <si>
    <t xml:space="preserve">Kuchl, Gmünd in Kärnten</t>
  </si>
  <si>
    <t xml:space="preserve">https://www.karriere.at/jobs/10029867</t>
  </si>
  <si>
    <t xml:space="preserve">IT Solution Engineer SAP</t>
  </si>
  <si>
    <t xml:space="preserve">https://www.linkedin.com/jobs/view/4458175262</t>
  </si>
  <si>
    <t xml:space="preserve">VistaJet</t>
  </si>
  <si>
    <t xml:space="preserve">Office Administrator</t>
  </si>
  <si>
    <t xml:space="preserve">https://www.linkedin.com/jobs/view/4463521689</t>
  </si>
  <si>
    <t xml:space="preserve">WIEHAG Timber Construction GmbH</t>
  </si>
  <si>
    <t xml:space="preserve">Kalkulation &amp; Digitale Innovation Holzbau</t>
  </si>
  <si>
    <t xml:space="preserve">Altheim</t>
  </si>
  <si>
    <t xml:space="preserve">https://www.karriere.at/jobs/7867936</t>
  </si>
  <si>
    <t xml:space="preserve">Niederalm, Anif</t>
  </si>
  <si>
    <t xml:space="preserve">https://www.karriere.at/jobs/10029255</t>
  </si>
  <si>
    <t xml:space="preserve">Westernacher Consulting</t>
  </si>
  <si>
    <t xml:space="preserve">Solution Architect SAP EWM (m/w/d)</t>
  </si>
  <si>
    <t xml:space="preserve">https://www.linkedin.com/jobs/view/4469576595</t>
  </si>
  <si>
    <t xml:space="preserve">Wintersteiger Holding AG</t>
  </si>
  <si>
    <t xml:space="preserve">Softwareengineering SPS m/w/x</t>
  </si>
  <si>
    <t xml:space="preserve">Mettmach</t>
  </si>
  <si>
    <t xml:space="preserve">https://www.karriere.at/jobs/7803704</t>
  </si>
  <si>
    <t xml:space="preserve">World-Direct eBusiness solutions GmbH</t>
  </si>
  <si>
    <t xml:space="preserve">Solution Architect Microsoft Dynamics 365 (w/m/d)</t>
  </si>
  <si>
    <t xml:space="preserve">Puch bei Hallein, Wien</t>
  </si>
  <si>
    <t xml:space="preserve">https://www.karriere.at/jobs/10031916</t>
  </si>
  <si>
    <t xml:space="preserve">Technical Product Manager:in mit Fokus Software Architektur und AI (m/w/d)</t>
  </si>
  <si>
    <t xml:space="preserve">https://www.karriere.at/jobs/7847963</t>
  </si>
  <si>
    <t xml:space="preserve">aristid Personalberatung GmbH &amp; Co KG</t>
  </si>
  <si>
    <t xml:space="preserve">Principal Solution Architect (f/m/d) - Cloud-Native Architecture</t>
  </si>
  <si>
    <t xml:space="preserve">https://www.karriere.at/jobs/7861810</t>
  </si>
  <si>
    <t xml:space="preserve">binderholz group</t>
  </si>
  <si>
    <t xml:space="preserve">Senior Structural Engineer NL (m/f/d)</t>
  </si>
  <si>
    <t xml:space="preserve">https://www.linkedin.com/jobs/view/4468580476</t>
  </si>
  <si>
    <t xml:space="preserve">bluforce</t>
  </si>
  <si>
    <t xml:space="preserve">Account- &amp; Project Manager:in (w/m/d)</t>
  </si>
  <si>
    <t xml:space="preserve">https://www.linkedin.com/jobs/view/4465991468</t>
  </si>
  <si>
    <t xml:space="preserve">Senior SAP Retail Consultant (w/m/x)</t>
  </si>
  <si>
    <t xml:space="preserve">https://www.karriere.at/jobs/7865578</t>
  </si>
  <si>
    <t xml:space="preserve">Software Test Engineer (w/m/x)</t>
  </si>
  <si>
    <t xml:space="preserve">https://www.karriere.at/jobs/7814600</t>
  </si>
  <si>
    <t xml:space="preserve">msg</t>
  </si>
  <si>
    <t xml:space="preserve">(Senior) IT Consultant AI-Driven DevOps &amp; Platform Engineering (all genders)</t>
  </si>
  <si>
    <t xml:space="preserve">Sankt Georgen im Attergau, Upper Austria, Austria</t>
  </si>
  <si>
    <t xml:space="preserve">https://www.linkedin.com/jobs/view/4469723366</t>
  </si>
  <si>
    <t xml:space="preserve">SAP Key User (m/w/d)</t>
  </si>
  <si>
    <t xml:space="preserve">https://www.karriere.at/jobs/7865083</t>
  </si>
  <si>
    <t xml:space="preserve">valantic CX Austria GmbH</t>
  </si>
  <si>
    <t xml:space="preserve">Client Service Director w/m/d</t>
  </si>
  <si>
    <t xml:space="preserve">https://www.karriere.at/jobs/10030426</t>
  </si>
  <si>
    <t xml:space="preserve">Stuhlberger IT GmbH</t>
  </si>
  <si>
    <t xml:space="preserve">Cybersecurity Engineer (w/m/d)</t>
  </si>
  <si>
    <t xml:space="preserve">Andorf, Upper Austria, Austria</t>
  </si>
  <si>
    <t xml:space="preserve">Ulaşım/lokasyon: Andorf (~100 km)</t>
  </si>
  <si>
    <t xml:space="preserve">https://www.linkedin.com/jobs/view/4466969904</t>
  </si>
  <si>
    <t xml:space="preserve">FACC AG</t>
  </si>
  <si>
    <t xml:space="preserve">IT Solution Architect (m/w/d)</t>
  </si>
  <si>
    <t xml:space="preserve">Aurolzmünster, Upper Austria, Austria</t>
  </si>
  <si>
    <t xml:space="preserve">Ulaşım/lokasyon: Aurolzmünster (~95 km, &gt;90 dk)</t>
  </si>
  <si>
    <t xml:space="preserve">https://www.linkedin.com/jobs/view/4470236928</t>
  </si>
  <si>
    <t xml:space="preserve">VTA Group | We clean water.</t>
  </si>
  <si>
    <t xml:space="preserve">Haag am Hausruck, Upper Austria, Austria</t>
  </si>
  <si>
    <t xml:space="preserve">Ulaşım/lokasyon: Haag am Hausruck (~90 km)</t>
  </si>
  <si>
    <t xml:space="preserve">https://www.linkedin.com/jobs/view/4472436631</t>
  </si>
  <si>
    <t xml:space="preserve">efinio IT &amp; Engineering</t>
  </si>
  <si>
    <t xml:space="preserve">(Junior) IT Systemtechniker (m/w/d)</t>
  </si>
  <si>
    <t xml:space="preserve">Ulaşım/lokasyon: Lokasyon belirsiz ('Upper Austria')</t>
  </si>
  <si>
    <t xml:space="preserve">https://www.linkedin.com/jobs/view/4469452005</t>
  </si>
  <si>
    <t xml:space="preserve">talentbird GmbH</t>
  </si>
  <si>
    <t xml:space="preserve">https://www.linkedin.com/jobs/view/4445097403</t>
  </si>
  <si>
    <t xml:space="preserve">Junior Cloud Engineer</t>
  </si>
  <si>
    <t xml:space="preserve">Ansfelden, Salzburg, Austria</t>
  </si>
  <si>
    <t xml:space="preserve">Ulaşım/lokasyon: Lokasyon belirsiz (Ansfelden/Linz)</t>
  </si>
  <si>
    <t xml:space="preserve">https://www.linkedin.com/jobs/view/4465779160</t>
  </si>
  <si>
    <t xml:space="preserve">Senior Azure Cloud Engineer</t>
  </si>
  <si>
    <t xml:space="preserve">https://www.linkedin.com/jobs/view/4465765278</t>
  </si>
  <si>
    <t xml:space="preserve">ERP Consultant (m/w/d)</t>
  </si>
  <si>
    <t xml:space="preserve">Rohrbach-Berg, Schärding, Passau</t>
  </si>
  <si>
    <t xml:space="preserve">Ulaşım/lokasyon: Rohrbach-Berg / Schärding / Passau (&gt;90 dk)</t>
  </si>
  <si>
    <t xml:space="preserve">https://www.karriere.at/jobs/7879723</t>
  </si>
  <si>
    <t xml:space="preserve">IT-Mitarbeiter – Schwerpunkt IT-Security (m/w)</t>
  </si>
  <si>
    <t xml:space="preserve">Rottenbach, Upper Austria, Austria</t>
  </si>
  <si>
    <t xml:space="preserve">Ulaşım/lokasyon: Rottenbach (~100 km)</t>
  </si>
  <si>
    <t xml:space="preserve">https://www.linkedin.com/jobs/view/4468966945</t>
  </si>
  <si>
    <t xml:space="preserve">Tarama Günlüğü – 27.09.2026</t>
  </si>
  <si>
    <t xml:space="preserve">Adım</t>
  </si>
  <si>
    <t xml:space="preserve">Detay</t>
  </si>
  <si>
    <t xml:space="preserve">Sonuç</t>
  </si>
  <si>
    <t xml:space="preserve">karriere.at – Salzburg eyaleti</t>
  </si>
  <si>
    <t xml:space="preserve">51 anahtar kelime (it, it-security, cyber-security, informationssicherheit, isms, iso-27001, system-administrator, it-infrastruktur, netzwerk, it-leiter, head-of-it, it-service-manager, itil, service-manager, it-operations, windows-server, active-directory, datenbank, sql, it-support, compliance, datenschutz, risk-manager …), JSON API ile tüm sayfalar</t>
  </si>
  <si>
    <t xml:space="preserve">739 benzersiz ilan → başlık filtresi → 126 aday</t>
  </si>
  <si>
    <t xml:space="preserve">karriere.at – yakın Yukarı Avusturya</t>
  </si>
  <si>
    <t xml:space="preserve">Braunau, Vöcklabruck, Mondsee, Mattighofen, Ried × 6 anahtar kelime; &gt;90 dk olanlar çıkarıldı</t>
  </si>
  <si>
    <t xml:space="preserve">35 aday</t>
  </si>
  <si>
    <t xml:space="preserve">LinkedIn (guest API)</t>
  </si>
  <si>
    <t xml:space="preserve">37 anahtar kelime (IT, IT security, ISMS, ISO 27001, systems engineer, service manager, Windows, Active Directory, GRC, Turkish …) × 'Salzburg, Austria' 50 km × son 30 gün; her ilanın detayı + 'No longer accepting applications' kontrolü</t>
  </si>
  <si>
    <t xml:space="preserve">661 ilan → filtre → 120 aday, hepsi açık</t>
  </si>
  <si>
    <t xml:space="preserve">Red Bull resmi API</t>
  </si>
  <si>
    <t xml:space="preserve">jobs.redbull.com/api/search – Avusturya'daki 94 ilan; Salzburg IT ilanları resmi linkle eşlendi</t>
  </si>
  <si>
    <t xml:space="preserve">12 IT ilanı (Windows Engineer ve Security Incident Mgr artık YOK)</t>
  </si>
  <si>
    <t xml:space="preserve">ACP başvuru portalı</t>
  </si>
  <si>
    <t xml:space="preserve">bewerbung.acp-gruppe.com rx/600–1500 tarandı</t>
  </si>
  <si>
    <t xml:space="preserve">Salzburg: 6 ilan (2 yeni eklendi)</t>
  </si>
  <si>
    <t xml:space="preserve">StepStone.at / AMS</t>
  </si>
  <si>
    <t xml:space="preserve">StepStone bot koruması (HTTP 403, tarayıcıyla da); AMS giriş istiyor</t>
  </si>
  <si>
    <t xml:space="preserve">Taranamadı – elle bakılmalı</t>
  </si>
  <si>
    <t xml:space="preserve">Birleştirme + eleme</t>
  </si>
  <si>
    <t xml:space="preserve">281 kayıt → 234 benzersiz → profil dışı ve uzak ilanlar elendi</t>
  </si>
  <si>
    <t xml:space="preserve">122 ilan</t>
  </si>
  <si>
    <t xml:space="preserve">Link doğrulama</t>
  </si>
  <si>
    <t xml:space="preserve">Tüm ana + yedek linkler açıldı; başlık eşleşmesi; kapalı ilan yönlendirmesi kontrolü</t>
  </si>
  <si>
    <t xml:space="preserve">122/122 ana link + tüm yedekler AÇIK</t>
  </si>
  <si>
    <t xml:space="preserve">Önceki liste</t>
  </si>
  <si>
    <t xml:space="preserve">44 eski ilan linki tek tek açıldı + canlı veriyle eşleştirildi</t>
  </si>
  <si>
    <t xml:space="preserve">14 canlı, geri kalanı kapalı/eski</t>
  </si>
</sst>
</file>

<file path=xl/styles.xml><?xml version="1.0" encoding="utf-8"?>
<styleSheet xmlns="http://schemas.openxmlformats.org/spreadsheetml/2006/main">
  <numFmts count="6">
    <numFmt numFmtId="164" formatCode="General"/>
    <numFmt numFmtId="165" formatCode="0%"/>
    <numFmt numFmtId="166" formatCode="0"/>
    <numFmt numFmtId="167" formatCode="@"/>
    <numFmt numFmtId="168" formatCode="General"/>
    <numFmt numFmtId="169" formatCode="0.0000"/>
  </numFmts>
  <fonts count="2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2"/>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u val="single"/>
      <sz val="10"/>
      <color rgb="FF0563C1"/>
      <name val="Arial"/>
      <family val="0"/>
      <charset val="1"/>
    </font>
    <font>
      <b val="true"/>
      <sz val="14"/>
      <color rgb="FF1F3864"/>
      <name val="Arial"/>
      <family val="0"/>
      <charset val="1"/>
    </font>
    <font>
      <b val="true"/>
      <u val="single"/>
      <sz val="10"/>
      <color rgb="FF0563C1"/>
      <name val="Arial"/>
      <family val="0"/>
      <charset val="1"/>
    </font>
    <font>
      <sz val="10"/>
      <color rgb="FF808080"/>
      <name val="Arial"/>
      <family val="0"/>
      <charset val="1"/>
    </font>
    <font>
      <sz val="10"/>
      <name val="Arial"/>
      <family val="2"/>
    </font>
    <font>
      <b val="true"/>
      <sz val="10"/>
      <color rgb="FF1F3864"/>
      <name val="Arial"/>
      <family val="0"/>
      <charset val="1"/>
    </font>
    <font>
      <u val="single"/>
      <sz val="10"/>
      <color rgb="FF80808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2F5597"/>
        <bgColor rgb="FF0563C1"/>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5"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true" applyAlignment="true" applyProtection="false">
      <alignment horizontal="center" vertical="bottom" textRotation="0" wrapText="false" indent="0" shrinkToFit="false"/>
      <protection locked="true" hidden="false"/>
    </xf>
    <xf numFmtId="164" fontId="9"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8" fontId="8"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9" fontId="16"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center" vertical="top" textRotation="0" wrapText="true" indent="0" shrinkToFit="false"/>
      <protection locked="true" hidden="false"/>
    </xf>
    <xf numFmtId="165" fontId="12"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63BE7B"/>
          <bgColor rgb="FF000000"/>
        </patternFill>
      </fill>
    </dxf>
    <dxf>
      <fill>
        <patternFill patternType="solid">
          <fgColor rgb="FFA9D08E"/>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563C1"/>
          <bgColor rgb="FF000000"/>
        </patternFill>
      </fill>
    </dxf>
    <dxf>
      <fill>
        <patternFill patternType="solid">
          <fgColor rgb="FF0000FF"/>
          <bgColor rgb="FF000000"/>
        </patternFill>
      </fill>
    </dxf>
    <dxf>
      <fill>
        <patternFill patternType="solid">
          <fgColor rgb="FF7BC57D"/>
          <bgColor rgb="FF000000"/>
        </patternFill>
      </fill>
    </dxf>
    <dxf>
      <fill>
        <patternFill patternType="solid">
          <fgColor rgb="FF8BCA7E"/>
          <bgColor rgb="FF000000"/>
        </patternFill>
      </fill>
    </dxf>
    <dxf>
      <fill>
        <patternFill patternType="solid">
          <fgColor rgb="FF92CC7E"/>
          <bgColor rgb="FF000000"/>
        </patternFill>
      </fill>
    </dxf>
    <dxf>
      <fill>
        <patternFill patternType="solid">
          <fgColor rgb="FFA2D17F"/>
          <bgColor rgb="FF000000"/>
        </patternFill>
      </fill>
    </dxf>
    <dxf>
      <fill>
        <patternFill patternType="solid">
          <fgColor rgb="FFAAD380"/>
          <bgColor rgb="FF000000"/>
        </patternFill>
      </fill>
    </dxf>
    <dxf>
      <fill>
        <patternFill patternType="solid">
          <fgColor rgb="FFAED480"/>
          <bgColor rgb="FF000000"/>
        </patternFill>
      </fill>
    </dxf>
    <dxf>
      <fill>
        <patternFill patternType="solid">
          <fgColor rgb="FFB5D680"/>
          <bgColor rgb="FF000000"/>
        </patternFill>
      </fill>
    </dxf>
    <dxf>
      <fill>
        <patternFill patternType="solid">
          <fgColor rgb="FFB9D780"/>
          <bgColor rgb="FF000000"/>
        </patternFill>
      </fill>
    </dxf>
    <dxf>
      <fill>
        <patternFill patternType="solid">
          <fgColor rgb="FFC5DB81"/>
          <bgColor rgb="FF000000"/>
        </patternFill>
      </fill>
    </dxf>
    <dxf>
      <fill>
        <patternFill patternType="solid">
          <fgColor rgb="FFC9DC81"/>
          <bgColor rgb="FF000000"/>
        </patternFill>
      </fill>
    </dxf>
    <dxf>
      <fill>
        <patternFill patternType="solid">
          <fgColor rgb="FFD1DE82"/>
          <bgColor rgb="FF000000"/>
        </patternFill>
      </fill>
    </dxf>
    <dxf>
      <fill>
        <patternFill patternType="solid">
          <fgColor rgb="FFD8E082"/>
          <bgColor rgb="FF000000"/>
        </patternFill>
      </fill>
    </dxf>
    <dxf>
      <fill>
        <patternFill patternType="solid">
          <fgColor rgb="FFE0E283"/>
          <bgColor rgb="FF000000"/>
        </patternFill>
      </fill>
    </dxf>
    <dxf>
      <fill>
        <patternFill patternType="solid">
          <fgColor rgb="FFE4E483"/>
          <bgColor rgb="FF000000"/>
        </patternFill>
      </fill>
    </dxf>
    <dxf>
      <fill>
        <patternFill patternType="solid">
          <fgColor rgb="FFF0E784"/>
          <bgColor rgb="FF000000"/>
        </patternFill>
      </fill>
    </dxf>
    <dxf>
      <fill>
        <patternFill patternType="solid">
          <fgColor rgb="FFF8696B"/>
          <bgColor rgb="FF000000"/>
        </patternFill>
      </fill>
    </dxf>
    <dxf>
      <fill>
        <patternFill patternType="solid">
          <fgColor rgb="FFF86C6B"/>
          <bgColor rgb="FF000000"/>
        </patternFill>
      </fill>
    </dxf>
    <dxf>
      <fill>
        <patternFill patternType="solid">
          <fgColor rgb="FFF86F6C"/>
          <bgColor rgb="FF000000"/>
        </patternFill>
      </fill>
    </dxf>
    <dxf>
      <fill>
        <patternFill patternType="solid">
          <fgColor rgb="FFF8726C"/>
          <bgColor rgb="FF000000"/>
        </patternFill>
      </fill>
    </dxf>
    <dxf>
      <fill>
        <patternFill patternType="solid">
          <fgColor rgb="FFF8766D"/>
          <bgColor rgb="FF000000"/>
        </patternFill>
      </fill>
    </dxf>
    <dxf>
      <fill>
        <patternFill patternType="solid">
          <fgColor rgb="FFF8796E"/>
          <bgColor rgb="FF000000"/>
        </patternFill>
      </fill>
    </dxf>
    <dxf>
      <fill>
        <patternFill patternType="solid">
          <fgColor rgb="FFF8E984"/>
          <bgColor rgb="FF000000"/>
        </patternFill>
      </fill>
    </dxf>
    <dxf>
      <fill>
        <patternFill patternType="solid">
          <fgColor rgb="FFF97C6E"/>
          <bgColor rgb="FF000000"/>
        </patternFill>
      </fill>
    </dxf>
    <dxf>
      <fill>
        <patternFill patternType="solid">
          <fgColor rgb="FFF98370"/>
          <bgColor rgb="FF000000"/>
        </patternFill>
      </fill>
    </dxf>
    <dxf>
      <fill>
        <patternFill patternType="solid">
          <fgColor rgb="FFF98670"/>
          <bgColor rgb="FF000000"/>
        </patternFill>
      </fill>
    </dxf>
    <dxf>
      <fill>
        <patternFill patternType="solid">
          <fgColor rgb="FFF98971"/>
          <bgColor rgb="FF000000"/>
        </patternFill>
      </fill>
    </dxf>
    <dxf>
      <fill>
        <patternFill patternType="solid">
          <fgColor rgb="FFF98C71"/>
          <bgColor rgb="FF000000"/>
        </patternFill>
      </fill>
    </dxf>
    <dxf>
      <fill>
        <patternFill patternType="solid">
          <fgColor rgb="FFFA9072"/>
          <bgColor rgb="FF000000"/>
        </patternFill>
      </fill>
    </dxf>
    <dxf>
      <fill>
        <patternFill patternType="solid">
          <fgColor rgb="FFFA9373"/>
          <bgColor rgb="FF000000"/>
        </patternFill>
      </fill>
    </dxf>
    <dxf>
      <fill>
        <patternFill patternType="solid">
          <fgColor rgb="FFFA9673"/>
          <bgColor rgb="FF000000"/>
        </patternFill>
      </fill>
    </dxf>
    <dxf>
      <fill>
        <patternFill patternType="solid">
          <fgColor rgb="FFFA9974"/>
          <bgColor rgb="FF000000"/>
        </patternFill>
      </fill>
    </dxf>
    <dxf>
      <fill>
        <patternFill patternType="solid">
          <fgColor rgb="FFFA9C74"/>
          <bgColor rgb="FF000000"/>
        </patternFill>
      </fill>
    </dxf>
    <dxf>
      <fill>
        <patternFill patternType="solid">
          <fgColor rgb="FFFAA075"/>
          <bgColor rgb="FF000000"/>
        </patternFill>
      </fill>
    </dxf>
    <dxf>
      <fill>
        <patternFill patternType="solid">
          <fgColor rgb="FFFBA376"/>
          <bgColor rgb="FF000000"/>
        </patternFill>
      </fill>
    </dxf>
    <dxf>
      <fill>
        <patternFill patternType="solid">
          <fgColor rgb="FFFBA676"/>
          <bgColor rgb="FF000000"/>
        </patternFill>
      </fill>
    </dxf>
    <dxf>
      <fill>
        <patternFill patternType="solid">
          <fgColor rgb="FFFBAA77"/>
          <bgColor rgb="FF000000"/>
        </patternFill>
      </fill>
    </dxf>
    <dxf>
      <fill>
        <patternFill patternType="solid">
          <fgColor rgb="FFFBAD78"/>
          <bgColor rgb="FF000000"/>
        </patternFill>
      </fill>
    </dxf>
    <dxf>
      <fill>
        <patternFill patternType="solid">
          <fgColor rgb="FFFBB078"/>
          <bgColor rgb="FF000000"/>
        </patternFill>
      </fill>
    </dxf>
    <dxf>
      <fill>
        <patternFill patternType="solid">
          <fgColor rgb="FFFCB379"/>
          <bgColor rgb="FF000000"/>
        </patternFill>
      </fill>
    </dxf>
    <dxf>
      <fill>
        <patternFill patternType="solid">
          <fgColor rgb="FFFCB77A"/>
          <bgColor rgb="FF000000"/>
        </patternFill>
      </fill>
    </dxf>
    <dxf>
      <fill>
        <patternFill patternType="solid">
          <fgColor rgb="FFFCBA7A"/>
          <bgColor rgb="FF000000"/>
        </patternFill>
      </fill>
    </dxf>
    <dxf>
      <fill>
        <patternFill patternType="solid">
          <fgColor rgb="FFFCBD7B"/>
          <bgColor rgb="FF000000"/>
        </patternFill>
      </fill>
    </dxf>
    <dxf>
      <fill>
        <patternFill patternType="solid">
          <fgColor rgb="FFFCC07B"/>
          <bgColor rgb="FF000000"/>
        </patternFill>
      </fill>
    </dxf>
    <dxf>
      <fill>
        <patternFill patternType="solid">
          <fgColor rgb="FFFCC47C"/>
          <bgColor rgb="FF000000"/>
        </patternFill>
      </fill>
    </dxf>
    <dxf>
      <fill>
        <patternFill patternType="solid">
          <fgColor rgb="FFFDC77D"/>
          <bgColor rgb="FF000000"/>
        </patternFill>
      </fill>
    </dxf>
    <dxf>
      <fill>
        <patternFill patternType="solid">
          <fgColor rgb="FFFDCD7E"/>
          <bgColor rgb="FF000000"/>
        </patternFill>
      </fill>
    </dxf>
    <dxf>
      <fill>
        <patternFill patternType="solid">
          <fgColor rgb="FFFDD17F"/>
          <bgColor rgb="FF000000"/>
        </patternFill>
      </fill>
    </dxf>
    <dxf>
      <fill>
        <patternFill patternType="solid">
          <fgColor rgb="FFFEDA80"/>
          <bgColor rgb="FF000000"/>
        </patternFill>
      </fill>
    </dxf>
    <dxf>
      <fill>
        <patternFill patternType="solid">
          <fgColor rgb="FFFEDE81"/>
          <bgColor rgb="FF000000"/>
        </patternFill>
      </fill>
    </dxf>
    <dxf>
      <fill>
        <patternFill patternType="solid">
          <fgColor rgb="FFFEE182"/>
          <bgColor rgb="FF000000"/>
        </patternFill>
      </fill>
    </dxf>
    <dxf>
      <fill>
        <patternFill patternType="solid">
          <fgColor rgb="FFFEE482"/>
          <bgColor rgb="FF000000"/>
        </patternFill>
      </fill>
    </dxf>
    <dxf>
      <fill>
        <patternFill patternType="solid">
          <fgColor rgb="FFFEE783"/>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FEB9C"/>
          <bgColor rgb="FF000000"/>
        </patternFill>
      </fill>
    </dxf>
    <dxf>
      <fill>
        <patternFill patternType="solid">
          <fgColor rgb="FF808080"/>
          <bgColor rgb="FF000000"/>
        </patternFill>
      </fill>
    </dxf>
    <dxf>
      <fill>
        <patternFill>
          <bgColor rgb="FFC6EFCE"/>
        </patternFill>
      </fill>
    </dxf>
    <dxf>
      <fill>
        <patternFill>
          <bgColor rgb="FFFFEB9C"/>
        </patternFill>
      </fill>
    </dxf>
    <dxf>
      <fill>
        <patternFill>
          <bgColor rgb="FFF2F2F2"/>
        </patternFill>
      </fill>
    </dxf>
    <dxf>
      <fill>
        <patternFill>
          <bgColor rgb="FF63BE7B"/>
        </patternFill>
      </fill>
    </dxf>
    <dxf>
      <fill>
        <patternFill>
          <bgColor rgb="FFA9D08E"/>
        </patternFill>
      </fill>
    </dxf>
    <dxf>
      <fill>
        <patternFill>
          <bgColor rgb="FFE2EFDA"/>
        </patternFill>
      </fill>
    </dxf>
    <dxf>
      <fill>
        <patternFill>
          <bgColor rgb="FFFFF2CC"/>
        </patternFill>
      </fill>
    </dxf>
    <dxf>
      <fill>
        <patternFill>
          <bgColor rgb="FFFCE4D6"/>
        </patternFill>
      </fill>
    </dxf>
    <dxf>
      <fill>
        <patternFill>
          <bgColor rgb="FFF8CBAD"/>
        </patternFill>
      </fill>
    </dxf>
    <dxf>
      <fill>
        <patternFill>
          <bgColor rgb="FFDDEBF7"/>
        </patternFill>
      </fill>
    </dxf>
    <dxf>
      <fill>
        <patternFill patternType="solid">
          <fgColor rgb="FF008000"/>
          <bgColor rgb="FF000000"/>
        </patternFill>
      </fill>
    </dxf>
    <dxf>
      <fill>
        <patternFill patternType="solid">
          <fgColor rgb="FFB1D580"/>
          <bgColor rgb="FF000000"/>
        </patternFill>
      </fill>
    </dxf>
    <dxf>
      <fill>
        <patternFill patternType="solid">
          <fgColor rgb="FFFFEB8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FCE4D6"/>
      <rgbColor rgb="FF000080"/>
      <rgbColor rgb="FFFF00FF"/>
      <rgbColor rgb="FFFFFF00"/>
      <rgbColor rgb="FF00FFFF"/>
      <rgbColor rgb="FF800080"/>
      <rgbColor rgb="FF800000"/>
      <rgbColor rgb="FF008080"/>
      <rgbColor rgb="FF0000FF"/>
      <rgbColor rgb="FF00CCFF"/>
      <rgbColor rgb="FFE2EFDA"/>
      <rgbColor rgb="FFC6EFCE"/>
      <rgbColor rgb="FFFFEB9C"/>
      <rgbColor rgb="FFA9D08E"/>
      <rgbColor rgb="FFF2F2F2"/>
      <rgbColor rgb="FFCC99FF"/>
      <rgbColor rgb="FFF8CBAD"/>
      <rgbColor rgb="FF3366FF"/>
      <rgbColor rgb="FF63BE7B"/>
      <rgbColor rgb="FF99CC00"/>
      <rgbColor rgb="FFFFCC00"/>
      <rgbColor rgb="FFFF9900"/>
      <rgbColor rgb="FFFF6600"/>
      <rgbColor rgb="FF595959"/>
      <rgbColor rgb="FF969696"/>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jobs.redbull.com/at-de/it-sales-applications-project-manager-ref33553h" TargetMode="External"/><Relationship Id="rId3" Type="http://schemas.openxmlformats.org/officeDocument/2006/relationships/hyperlink" Target="https://www.karriere.at/jobs/7867234" TargetMode="External"/><Relationship Id="rId4" Type="http://schemas.openxmlformats.org/officeDocument/2006/relationships/hyperlink" Target="https://www.karriere.at/f/red-bull" TargetMode="External"/><Relationship Id="rId5" Type="http://schemas.openxmlformats.org/officeDocument/2006/relationships/hyperlink" Target="https://www.karriere.at/jobs/7854275" TargetMode="External"/><Relationship Id="rId6" Type="http://schemas.openxmlformats.org/officeDocument/2006/relationships/hyperlink" Target="https://www.linkedin.com/jobs/view/4446017342" TargetMode="External"/><Relationship Id="rId7" Type="http://schemas.openxmlformats.org/officeDocument/2006/relationships/hyperlink" Target="https://www.karriere.at/f/skidata" TargetMode="External"/><Relationship Id="rId8" Type="http://schemas.openxmlformats.org/officeDocument/2006/relationships/hyperlink" Target="https://jobs.redbull.com/at-de/it-project-manager-legal-solutions-ref33927j" TargetMode="External"/><Relationship Id="rId9" Type="http://schemas.openxmlformats.org/officeDocument/2006/relationships/hyperlink" Target="https://www.karriere.at/jobs/7875472" TargetMode="External"/><Relationship Id="rId10" Type="http://schemas.openxmlformats.org/officeDocument/2006/relationships/hyperlink" Target="https://www.karriere.at/f/red-bull" TargetMode="External"/><Relationship Id="rId11" Type="http://schemas.openxmlformats.org/officeDocument/2006/relationships/hyperlink" Target="https://jobs.redbull.com/at-de/project-manager-portfolio-management-ref34093e" TargetMode="External"/><Relationship Id="rId12" Type="http://schemas.openxmlformats.org/officeDocument/2006/relationships/hyperlink" Target="https://www.karriere.at/jobs/7878376" TargetMode="External"/><Relationship Id="rId13" Type="http://schemas.openxmlformats.org/officeDocument/2006/relationships/hyperlink" Target="https://www.karriere.at/f/red-bull" TargetMode="External"/><Relationship Id="rId14" Type="http://schemas.openxmlformats.org/officeDocument/2006/relationships/hyperlink" Target="https://jobs.redbull.com/at-de/application-security-service-manager-ref33475n" TargetMode="External"/><Relationship Id="rId15" Type="http://schemas.openxmlformats.org/officeDocument/2006/relationships/hyperlink" Target="https://www.karriere.at/jobs/7865764" TargetMode="External"/><Relationship Id="rId16" Type="http://schemas.openxmlformats.org/officeDocument/2006/relationships/hyperlink" Target="https://www.karriere.at/f/red-bull" TargetMode="External"/><Relationship Id="rId17" Type="http://schemas.openxmlformats.org/officeDocument/2006/relationships/hyperlink" Target="https://jobs.redbull.com/at-de/elsbethen-it-manager-global-field-sales-applications-ref31287p" TargetMode="External"/><Relationship Id="rId18" Type="http://schemas.openxmlformats.org/officeDocument/2006/relationships/hyperlink" Target="https://www.karriere.at/jobs/7879372" TargetMode="External"/><Relationship Id="rId19" Type="http://schemas.openxmlformats.org/officeDocument/2006/relationships/hyperlink" Target="https://www.karriere.at/f/red-bull" TargetMode="External"/><Relationship Id="rId20" Type="http://schemas.openxmlformats.org/officeDocument/2006/relationships/hyperlink" Target="https://www.linkedin.com/jobs/view/4470334048" TargetMode="External"/><Relationship Id="rId21" Type="http://schemas.openxmlformats.org/officeDocument/2006/relationships/hyperlink" Target="https://www.linkedin.com/company/transunion" TargetMode="External"/><Relationship Id="rId22" Type="http://schemas.openxmlformats.org/officeDocument/2006/relationships/hyperlink" Target="https://jobs.redbull.com/at-de/elsbethen-it-project-application-manager-production-application--ref26935q" TargetMode="External"/><Relationship Id="rId23" Type="http://schemas.openxmlformats.org/officeDocument/2006/relationships/hyperlink" Target="https://www.karriere.at/jobs/7709477" TargetMode="External"/><Relationship Id="rId24" Type="http://schemas.openxmlformats.org/officeDocument/2006/relationships/hyperlink" Target="https://www.karriere.at/f/red-bull" TargetMode="External"/><Relationship Id="rId25" Type="http://schemas.openxmlformats.org/officeDocument/2006/relationships/hyperlink" Target="https://www.linkedin.com/jobs/view/4438189985" TargetMode="External"/><Relationship Id="rId26" Type="http://schemas.openxmlformats.org/officeDocument/2006/relationships/hyperlink" Target="https://fi.linkedin.com/company/amer-sports" TargetMode="External"/><Relationship Id="rId27" Type="http://schemas.openxmlformats.org/officeDocument/2006/relationships/hyperlink" Target="https://www.karriere.at/jobs/7869100" TargetMode="External"/><Relationship Id="rId28" Type="http://schemas.openxmlformats.org/officeDocument/2006/relationships/hyperlink" Target="https://www.karriere.at/jobs/7881199" TargetMode="External"/><Relationship Id="rId29" Type="http://schemas.openxmlformats.org/officeDocument/2006/relationships/hyperlink" Target="https://www.karriere.at/f/epunkt-linz" TargetMode="External"/><Relationship Id="rId30" Type="http://schemas.openxmlformats.org/officeDocument/2006/relationships/hyperlink" Target="https://www.linkedin.com/jobs/view/4430598895" TargetMode="External"/><Relationship Id="rId31" Type="http://schemas.openxmlformats.org/officeDocument/2006/relationships/hyperlink" Target="https://www.linkedin.com/company/transunion" TargetMode="External"/><Relationship Id="rId32" Type="http://schemas.openxmlformats.org/officeDocument/2006/relationships/hyperlink" Target="https://jobs.redbull.com/at-de/it-infrastructure-data-platform-engineer-ref33287a" TargetMode="External"/><Relationship Id="rId33" Type="http://schemas.openxmlformats.org/officeDocument/2006/relationships/hyperlink" Target="https://www.karriere.at/jobs/7861804" TargetMode="External"/><Relationship Id="rId34" Type="http://schemas.openxmlformats.org/officeDocument/2006/relationships/hyperlink" Target="https://www.karriere.at/f/red-bull" TargetMode="External"/><Relationship Id="rId35" Type="http://schemas.openxmlformats.org/officeDocument/2006/relationships/hyperlink" Target="https://jobs.redbull.com/at-de/elsbethen-it-project-manager-sales-applications--ref31123e" TargetMode="External"/><Relationship Id="rId36" Type="http://schemas.openxmlformats.org/officeDocument/2006/relationships/hyperlink" Target="https://www.karriere.at/jobs/7871212" TargetMode="External"/><Relationship Id="rId37" Type="http://schemas.openxmlformats.org/officeDocument/2006/relationships/hyperlink" Target="https://www.karriere.at/f/red-bull" TargetMode="External"/><Relationship Id="rId38" Type="http://schemas.openxmlformats.org/officeDocument/2006/relationships/hyperlink" Target="https://www.linkedin.com/jobs/view/4461705351" TargetMode="External"/><Relationship Id="rId39" Type="http://schemas.openxmlformats.org/officeDocument/2006/relationships/hyperlink" Target="https://at.linkedin.com/company/palfinger" TargetMode="External"/><Relationship Id="rId40" Type="http://schemas.openxmlformats.org/officeDocument/2006/relationships/hyperlink" Target="https://www.linkedin.com/jobs/view/4459659551" TargetMode="External"/><Relationship Id="rId41" Type="http://schemas.openxmlformats.org/officeDocument/2006/relationships/hyperlink" Target="https://www.linkedin.com/company/aptean" TargetMode="External"/><Relationship Id="rId42" Type="http://schemas.openxmlformats.org/officeDocument/2006/relationships/hyperlink" Target="https://www.linkedin.com/jobs/view/4440762411" TargetMode="External"/><Relationship Id="rId43" Type="http://schemas.openxmlformats.org/officeDocument/2006/relationships/hyperlink" Target="https://at.linkedin.com/company/skidata-ag" TargetMode="External"/><Relationship Id="rId44" Type="http://schemas.openxmlformats.org/officeDocument/2006/relationships/hyperlink" Target="https://www.linkedin.com/jobs/view/4462230078" TargetMode="External"/><Relationship Id="rId45" Type="http://schemas.openxmlformats.org/officeDocument/2006/relationships/hyperlink" Target="https://at.linkedin.com/company/rehrl-partner-personalberatung-gmbh" TargetMode="External"/><Relationship Id="rId46" Type="http://schemas.openxmlformats.org/officeDocument/2006/relationships/hyperlink" Target="https://www.karriere.at/jobs/7829969" TargetMode="External"/><Relationship Id="rId47" Type="http://schemas.openxmlformats.org/officeDocument/2006/relationships/hyperlink" Target="https://www.karriere.at/f/kern-engineering-careers" TargetMode="External"/><Relationship Id="rId48" Type="http://schemas.openxmlformats.org/officeDocument/2006/relationships/hyperlink" Target="https://www.karriere.at/jobs/10033426" TargetMode="External"/><Relationship Id="rId49" Type="http://schemas.openxmlformats.org/officeDocument/2006/relationships/hyperlink" Target="https://www.karriere.at/f/salzburger-abfallbeseitigung" TargetMode="External"/><Relationship Id="rId50" Type="http://schemas.openxmlformats.org/officeDocument/2006/relationships/hyperlink" Target="https://www.linkedin.com/jobs/view/4461881030" TargetMode="External"/><Relationship Id="rId51" Type="http://schemas.openxmlformats.org/officeDocument/2006/relationships/hyperlink" Target="https://de.linkedin.com/company/xenium-ag" TargetMode="External"/><Relationship Id="rId52" Type="http://schemas.openxmlformats.org/officeDocument/2006/relationships/hyperlink" Target="https://www.karriere.at/jobs/10033472" TargetMode="External"/><Relationship Id="rId53" Type="http://schemas.openxmlformats.org/officeDocument/2006/relationships/hyperlink" Target="https://www.karriere.at/f/x-tention-informationstechnologie" TargetMode="External"/><Relationship Id="rId54" Type="http://schemas.openxmlformats.org/officeDocument/2006/relationships/hyperlink" Target="https://www.linkedin.com/jobs/view/4469750644" TargetMode="External"/><Relationship Id="rId55" Type="http://schemas.openxmlformats.org/officeDocument/2006/relationships/hyperlink" Target="https://at.linkedin.com/company/soulkitchen-group" TargetMode="External"/><Relationship Id="rId56" Type="http://schemas.openxmlformats.org/officeDocument/2006/relationships/hyperlink" Target="https://www.linkedin.com/jobs/view/4470695814" TargetMode="External"/><Relationship Id="rId57" Type="http://schemas.openxmlformats.org/officeDocument/2006/relationships/hyperlink" Target="https://www.linkedin.com/company/hr-consulting-ines-sch&#246;ffmann-gmbh" TargetMode="External"/><Relationship Id="rId58" Type="http://schemas.openxmlformats.org/officeDocument/2006/relationships/hyperlink" Target="https://www.karriere.at/jobs/7880023" TargetMode="External"/><Relationship Id="rId59" Type="http://schemas.openxmlformats.org/officeDocument/2006/relationships/hyperlink" Target="https://www.linkedin.com/jobs/view/4470455077" TargetMode="External"/><Relationship Id="rId60" Type="http://schemas.openxmlformats.org/officeDocument/2006/relationships/hyperlink" Target="https://www.karriere.at/f/spar-ics-information-communication-services" TargetMode="External"/><Relationship Id="rId61" Type="http://schemas.openxmlformats.org/officeDocument/2006/relationships/hyperlink" Target="https://www.linkedin.com/jobs/view/4292781889" TargetMode="External"/><Relationship Id="rId62" Type="http://schemas.openxmlformats.org/officeDocument/2006/relationships/hyperlink" Target="https://www.linkedin.com/company/deloitte" TargetMode="External"/><Relationship Id="rId63" Type="http://schemas.openxmlformats.org/officeDocument/2006/relationships/hyperlink" Target="https://www.karriere.at/jobs/7859100" TargetMode="External"/><Relationship Id="rId64" Type="http://schemas.openxmlformats.org/officeDocument/2006/relationships/hyperlink" Target="https://www.karriere.at/f/reqpool" TargetMode="External"/><Relationship Id="rId65" Type="http://schemas.openxmlformats.org/officeDocument/2006/relationships/hyperlink" Target="https://www.karriere.at/jobs/7852769" TargetMode="External"/><Relationship Id="rId66" Type="http://schemas.openxmlformats.org/officeDocument/2006/relationships/hyperlink" Target="https://www.karriere.at/f/ktm" TargetMode="External"/><Relationship Id="rId67" Type="http://schemas.openxmlformats.org/officeDocument/2006/relationships/hyperlink" Target="https://www.karriere.at/jobs/7818680" TargetMode="External"/><Relationship Id="rId68" Type="http://schemas.openxmlformats.org/officeDocument/2006/relationships/hyperlink" Target="https://bewerbung.acp-gruppe.com/at/rx/1119" TargetMode="External"/><Relationship Id="rId69" Type="http://schemas.openxmlformats.org/officeDocument/2006/relationships/hyperlink" Target="https://www.karriere.at/f/acp-gruppe" TargetMode="External"/><Relationship Id="rId70" Type="http://schemas.openxmlformats.org/officeDocument/2006/relationships/hyperlink" Target="https://www.karriere.at/jobs/10024962" TargetMode="External"/><Relationship Id="rId71" Type="http://schemas.openxmlformats.org/officeDocument/2006/relationships/hyperlink" Target="https://www.karriere.at/f/senoplast-klepsch" TargetMode="External"/><Relationship Id="rId72" Type="http://schemas.openxmlformats.org/officeDocument/2006/relationships/hyperlink" Target="https://www.karriere.at/jobs/10030515" TargetMode="External"/><Relationship Id="rId73" Type="http://schemas.openxmlformats.org/officeDocument/2006/relationships/hyperlink" Target="https://www.karriere.at/f/arvai-plastics" TargetMode="External"/><Relationship Id="rId74" Type="http://schemas.openxmlformats.org/officeDocument/2006/relationships/hyperlink" Target="https://www.karriere.at/jobs/7868473" TargetMode="External"/><Relationship Id="rId75" Type="http://schemas.openxmlformats.org/officeDocument/2006/relationships/hyperlink" Target="https://www.linkedin.com/jobs/view/4461268801" TargetMode="External"/><Relationship Id="rId76" Type="http://schemas.openxmlformats.org/officeDocument/2006/relationships/hyperlink" Target="https://www.karriere.at/f/spar-ics-information-communication-services" TargetMode="External"/><Relationship Id="rId77" Type="http://schemas.openxmlformats.org/officeDocument/2006/relationships/hyperlink" Target="https://www.karriere.at/jobs/10032419" TargetMode="External"/><Relationship Id="rId78" Type="http://schemas.openxmlformats.org/officeDocument/2006/relationships/hyperlink" Target="https://www.karriere.at/f/messezentrum-salzburg" TargetMode="External"/><Relationship Id="rId79" Type="http://schemas.openxmlformats.org/officeDocument/2006/relationships/hyperlink" Target="https://www.linkedin.com/jobs/view/4458175246" TargetMode="External"/><Relationship Id="rId80" Type="http://schemas.openxmlformats.org/officeDocument/2006/relationships/hyperlink" Target="https://at.linkedin.com/school/universitaet-salzburg/" TargetMode="External"/><Relationship Id="rId81" Type="http://schemas.openxmlformats.org/officeDocument/2006/relationships/hyperlink" Target="https://www.linkedin.com/jobs/view/4471884648" TargetMode="External"/><Relationship Id="rId82" Type="http://schemas.openxmlformats.org/officeDocument/2006/relationships/hyperlink" Target="https://www.linkedin.com/company/ip50" TargetMode="External"/><Relationship Id="rId83" Type="http://schemas.openxmlformats.org/officeDocument/2006/relationships/hyperlink" Target="https://www.karriere.at/jobs/7863127" TargetMode="External"/><Relationship Id="rId84" Type="http://schemas.openxmlformats.org/officeDocument/2006/relationships/hyperlink" Target="https://www.linkedin.com/jobs/view/4454494899" TargetMode="External"/><Relationship Id="rId85" Type="http://schemas.openxmlformats.org/officeDocument/2006/relationships/hyperlink" Target="https://www.karriere.at/f/spar-ics-information-communication-services" TargetMode="External"/><Relationship Id="rId86" Type="http://schemas.openxmlformats.org/officeDocument/2006/relationships/hyperlink" Target="https://www.karriere.at/jobs/10033575" TargetMode="External"/><Relationship Id="rId87" Type="http://schemas.openxmlformats.org/officeDocument/2006/relationships/hyperlink" Target="https://www.karriere.at/f/sanitas" TargetMode="External"/><Relationship Id="rId88" Type="http://schemas.openxmlformats.org/officeDocument/2006/relationships/hyperlink" Target="https://www.karriere.at/jobs/10033619" TargetMode="External"/><Relationship Id="rId89" Type="http://schemas.openxmlformats.org/officeDocument/2006/relationships/hyperlink" Target="https://www.karriere.at/f/dbconcepts" TargetMode="External"/><Relationship Id="rId90" Type="http://schemas.openxmlformats.org/officeDocument/2006/relationships/hyperlink" Target="https://www.karriere.at/jobs/10032941" TargetMode="External"/><Relationship Id="rId91" Type="http://schemas.openxmlformats.org/officeDocument/2006/relationships/hyperlink" Target="https://www.karriere.at/f/&#246;sterreichische-gesundheitskasse-wien" TargetMode="External"/><Relationship Id="rId92" Type="http://schemas.openxmlformats.org/officeDocument/2006/relationships/hyperlink" Target="https://www.linkedin.com/jobs/view/4463896589" TargetMode="External"/><Relationship Id="rId93" Type="http://schemas.openxmlformats.org/officeDocument/2006/relationships/hyperlink" Target="https://de.linkedin.com/company/arineo" TargetMode="External"/><Relationship Id="rId94" Type="http://schemas.openxmlformats.org/officeDocument/2006/relationships/hyperlink" Target="https://www.karriere.at/jobs/7860364" TargetMode="External"/><Relationship Id="rId95" Type="http://schemas.openxmlformats.org/officeDocument/2006/relationships/hyperlink" Target="https://bewerbung.acp-gruppe.com/at/rx/887" TargetMode="External"/><Relationship Id="rId96" Type="http://schemas.openxmlformats.org/officeDocument/2006/relationships/hyperlink" Target="https://www.karriere.at/f/acp-gruppe" TargetMode="External"/><Relationship Id="rId97" Type="http://schemas.openxmlformats.org/officeDocument/2006/relationships/hyperlink" Target="https://www.karriere.at/jobs/7879510" TargetMode="External"/><Relationship Id="rId98" Type="http://schemas.openxmlformats.org/officeDocument/2006/relationships/hyperlink" Target="https://www.linkedin.com/jobs/view/4468764638" TargetMode="External"/><Relationship Id="rId99" Type="http://schemas.openxmlformats.org/officeDocument/2006/relationships/hyperlink" Target="https://www.karriere.at/f/acp-gruppe" TargetMode="External"/><Relationship Id="rId100" Type="http://schemas.openxmlformats.org/officeDocument/2006/relationships/hyperlink" Target="https://www.linkedin.com/jobs/view/4446306750" TargetMode="External"/><Relationship Id="rId101" Type="http://schemas.openxmlformats.org/officeDocument/2006/relationships/hyperlink" Target="https://at.linkedin.com/company/iventagroup" TargetMode="External"/><Relationship Id="rId102" Type="http://schemas.openxmlformats.org/officeDocument/2006/relationships/hyperlink" Target="https://www.linkedin.com/jobs/view/4471881682" TargetMode="External"/><Relationship Id="rId103" Type="http://schemas.openxmlformats.org/officeDocument/2006/relationships/hyperlink" Target="https://www.linkedin.com/company/ip50" TargetMode="External"/><Relationship Id="rId104" Type="http://schemas.openxmlformats.org/officeDocument/2006/relationships/hyperlink" Target="https://jobs.redbull.com/at-de/elsbethen-it-project-application-manager-sapfi-application--ref31534p" TargetMode="External"/><Relationship Id="rId105" Type="http://schemas.openxmlformats.org/officeDocument/2006/relationships/hyperlink" Target="https://www.karriere.at/jobs/7821824" TargetMode="External"/><Relationship Id="rId106" Type="http://schemas.openxmlformats.org/officeDocument/2006/relationships/hyperlink" Target="https://www.karriere.at/f/red-bull" TargetMode="External"/><Relationship Id="rId107" Type="http://schemas.openxmlformats.org/officeDocument/2006/relationships/hyperlink" Target="https://www.karriere.at/jobs/7868488" TargetMode="External"/><Relationship Id="rId108" Type="http://schemas.openxmlformats.org/officeDocument/2006/relationships/hyperlink" Target="https://www.karriere.at/f/kpmg-&#246;sterreich" TargetMode="External"/><Relationship Id="rId109" Type="http://schemas.openxmlformats.org/officeDocument/2006/relationships/hyperlink" Target="https://www.karriere.at/jobs/7874311" TargetMode="External"/><Relationship Id="rId110" Type="http://schemas.openxmlformats.org/officeDocument/2006/relationships/hyperlink" Target="https://www.karriere.at/f/teampool-personalberatung" TargetMode="External"/><Relationship Id="rId111" Type="http://schemas.openxmlformats.org/officeDocument/2006/relationships/hyperlink" Target="https://www.karriere.at/jobs/10031631" TargetMode="External"/><Relationship Id="rId112" Type="http://schemas.openxmlformats.org/officeDocument/2006/relationships/hyperlink" Target="https://www.karriere.at/f/x-tention-informationstechnologie" TargetMode="External"/><Relationship Id="rId113" Type="http://schemas.openxmlformats.org/officeDocument/2006/relationships/hyperlink" Target="https://www.karriere.at/jobs/10031629" TargetMode="External"/><Relationship Id="rId114" Type="http://schemas.openxmlformats.org/officeDocument/2006/relationships/hyperlink" Target="https://www.karriere.at/f/x-tention-informationstechnologie" TargetMode="External"/><Relationship Id="rId115" Type="http://schemas.openxmlformats.org/officeDocument/2006/relationships/hyperlink" Target="https://www.karriere.at/jobs/7872163" TargetMode="External"/><Relationship Id="rId116" Type="http://schemas.openxmlformats.org/officeDocument/2006/relationships/hyperlink" Target="https://www.karriere.at/f/sigmatek" TargetMode="External"/><Relationship Id="rId117" Type="http://schemas.openxmlformats.org/officeDocument/2006/relationships/hyperlink" Target="https://www.karriere.at/jobs/7862965" TargetMode="External"/><Relationship Id="rId118" Type="http://schemas.openxmlformats.org/officeDocument/2006/relationships/hyperlink" Target="https://www.linkedin.com/jobs/view/4458164478" TargetMode="External"/><Relationship Id="rId119" Type="http://schemas.openxmlformats.org/officeDocument/2006/relationships/hyperlink" Target="https://www.karriere.at/f/universit&#228;t-salzburg-personalabteilung" TargetMode="External"/><Relationship Id="rId120" Type="http://schemas.openxmlformats.org/officeDocument/2006/relationships/hyperlink" Target="https://www.karriere.at/jobs/7852229" TargetMode="External"/><Relationship Id="rId121" Type="http://schemas.openxmlformats.org/officeDocument/2006/relationships/hyperlink" Target="https://www.karriere.at/f/heimat-&#246;sterreich-gemeinn&#252;tzige-wohnungs-und-siedlungsgesellschaft" TargetMode="External"/><Relationship Id="rId122" Type="http://schemas.openxmlformats.org/officeDocument/2006/relationships/hyperlink" Target="https://www.karriere.at/jobs/10030831" TargetMode="External"/><Relationship Id="rId123" Type="http://schemas.openxmlformats.org/officeDocument/2006/relationships/hyperlink" Target="https://www.karriere.at/f/itaurus-it-dienstleistungs-gmbh" TargetMode="External"/><Relationship Id="rId124" Type="http://schemas.openxmlformats.org/officeDocument/2006/relationships/hyperlink" Target="https://bewerbung.acp-gruppe.com/at/rx/906" TargetMode="External"/><Relationship Id="rId125" Type="http://schemas.openxmlformats.org/officeDocument/2006/relationships/hyperlink" Target="https://bewerbung.acp-gruppe.com/at" TargetMode="External"/><Relationship Id="rId126" Type="http://schemas.openxmlformats.org/officeDocument/2006/relationships/hyperlink" Target="https://www.karriere.at/jobs/7869670" TargetMode="External"/><Relationship Id="rId127" Type="http://schemas.openxmlformats.org/officeDocument/2006/relationships/hyperlink" Target="https://www.karriere.at/f/tnt-personalberatung" TargetMode="External"/><Relationship Id="rId128" Type="http://schemas.openxmlformats.org/officeDocument/2006/relationships/hyperlink" Target="https://www.karriere.at/jobs/7863661" TargetMode="External"/><Relationship Id="rId129" Type="http://schemas.openxmlformats.org/officeDocument/2006/relationships/hyperlink" Target="https://www.linkedin.com/jobs/view/4454189709" TargetMode="External"/><Relationship Id="rId130" Type="http://schemas.openxmlformats.org/officeDocument/2006/relationships/hyperlink" Target="https://www.karriere.at/f/nts" TargetMode="External"/><Relationship Id="rId131" Type="http://schemas.openxmlformats.org/officeDocument/2006/relationships/hyperlink" Target="https://www.karriere.at/jobs/7839929" TargetMode="External"/><Relationship Id="rId132" Type="http://schemas.openxmlformats.org/officeDocument/2006/relationships/hyperlink" Target="https://www.karriere.at/f/cancomaustria" TargetMode="External"/><Relationship Id="rId133" Type="http://schemas.openxmlformats.org/officeDocument/2006/relationships/hyperlink" Target="https://www.karriere.at/jobs/7873291" TargetMode="External"/><Relationship Id="rId134" Type="http://schemas.openxmlformats.org/officeDocument/2006/relationships/hyperlink" Target="https://www.karriere.at/f/cancomaustria" TargetMode="External"/><Relationship Id="rId135" Type="http://schemas.openxmlformats.org/officeDocument/2006/relationships/hyperlink" Target="https://www.linkedin.com/jobs/view/4460493025" TargetMode="External"/><Relationship Id="rId136" Type="http://schemas.openxmlformats.org/officeDocument/2006/relationships/hyperlink" Target="https://at.linkedin.com/company/tnt-personal" TargetMode="External"/><Relationship Id="rId137" Type="http://schemas.openxmlformats.org/officeDocument/2006/relationships/hyperlink" Target="https://www.karriere.at/jobs/7868491" TargetMode="External"/><Relationship Id="rId138" Type="http://schemas.openxmlformats.org/officeDocument/2006/relationships/hyperlink" Target="https://www.karriere.at/f/kpmg-&#246;sterreich" TargetMode="External"/><Relationship Id="rId139" Type="http://schemas.openxmlformats.org/officeDocument/2006/relationships/hyperlink" Target="https://www.karriere.at/jobs/10024863" TargetMode="External"/><Relationship Id="rId140" Type="http://schemas.openxmlformats.org/officeDocument/2006/relationships/hyperlink" Target="https://www.karriere.at/f/ginzinger-electronic-systems" TargetMode="External"/><Relationship Id="rId141" Type="http://schemas.openxmlformats.org/officeDocument/2006/relationships/hyperlink" Target="https://www.karriere.at/jobs/10029632" TargetMode="External"/><Relationship Id="rId142" Type="http://schemas.openxmlformats.org/officeDocument/2006/relationships/hyperlink" Target="https://www.karriere.at/f/ever-pharma" TargetMode="External"/><Relationship Id="rId143" Type="http://schemas.openxmlformats.org/officeDocument/2006/relationships/hyperlink" Target="https://www.linkedin.com/jobs/view/4459936185" TargetMode="External"/><Relationship Id="rId144" Type="http://schemas.openxmlformats.org/officeDocument/2006/relationships/hyperlink" Target="https://at.linkedin.com/company/windhagerhandelsgesmbh" TargetMode="External"/><Relationship Id="rId145" Type="http://schemas.openxmlformats.org/officeDocument/2006/relationships/hyperlink" Target="https://www.karriere.at/jobs/7850054" TargetMode="External"/><Relationship Id="rId146" Type="http://schemas.openxmlformats.org/officeDocument/2006/relationships/hyperlink" Target="https://www.karriere.at/f/wirtschaftskammer-salzburg" TargetMode="External"/><Relationship Id="rId147" Type="http://schemas.openxmlformats.org/officeDocument/2006/relationships/hyperlink" Target="https://www.karriere.at/jobs/7847861" TargetMode="External"/><Relationship Id="rId148" Type="http://schemas.openxmlformats.org/officeDocument/2006/relationships/hyperlink" Target="https://www.karriere.at/f/salzburg-f&#252;r-energie-verkehr-und-telekommunikation" TargetMode="External"/><Relationship Id="rId149" Type="http://schemas.openxmlformats.org/officeDocument/2006/relationships/hyperlink" Target="https://www.karriere.at/jobs/7864984" TargetMode="External"/><Relationship Id="rId150" Type="http://schemas.openxmlformats.org/officeDocument/2006/relationships/hyperlink" Target="https://www.karriere.at/f/kern-engineering-careers" TargetMode="External"/><Relationship Id="rId151" Type="http://schemas.openxmlformats.org/officeDocument/2006/relationships/hyperlink" Target="https://www.karriere.at/jobs/7868917" TargetMode="External"/><Relationship Id="rId152" Type="http://schemas.openxmlformats.org/officeDocument/2006/relationships/hyperlink" Target="https://www.linkedin.com/jobs/view/4454710752" TargetMode="External"/><Relationship Id="rId153" Type="http://schemas.openxmlformats.org/officeDocument/2006/relationships/hyperlink" Target="https://www.karriere.at/f/spar-ics-information-communication-services" TargetMode="External"/><Relationship Id="rId154" Type="http://schemas.openxmlformats.org/officeDocument/2006/relationships/hyperlink" Target="https://www.karriere.at/jobs/7878931" TargetMode="External"/><Relationship Id="rId155" Type="http://schemas.openxmlformats.org/officeDocument/2006/relationships/hyperlink" Target="https://www.karriere.at/f/lenzing" TargetMode="External"/><Relationship Id="rId156" Type="http://schemas.openxmlformats.org/officeDocument/2006/relationships/hyperlink" Target="https://www.karriere.at/jobs/10033437" TargetMode="External"/><Relationship Id="rId157" Type="http://schemas.openxmlformats.org/officeDocument/2006/relationships/hyperlink" Target="https://www.karriere.at/f/x-tention-informationstechnologie" TargetMode="External"/><Relationship Id="rId158" Type="http://schemas.openxmlformats.org/officeDocument/2006/relationships/hyperlink" Target="https://www.karriere.at/jobs/10032590" TargetMode="External"/><Relationship Id="rId159" Type="http://schemas.openxmlformats.org/officeDocument/2006/relationships/hyperlink" Target="https://www.karriere.at/f/gastrodat" TargetMode="External"/><Relationship Id="rId160" Type="http://schemas.openxmlformats.org/officeDocument/2006/relationships/hyperlink" Target="https://www.linkedin.com/jobs/view/4465016911" TargetMode="External"/><Relationship Id="rId161" Type="http://schemas.openxmlformats.org/officeDocument/2006/relationships/hyperlink" Target="https://at.linkedin.com/company/ktm-ag" TargetMode="External"/><Relationship Id="rId162" Type="http://schemas.openxmlformats.org/officeDocument/2006/relationships/hyperlink" Target="https://www.karriere.at/jobs/10031930" TargetMode="External"/><Relationship Id="rId163" Type="http://schemas.openxmlformats.org/officeDocument/2006/relationships/hyperlink" Target="https://www.karriere.at/f/salzburger-festspielfonds" TargetMode="External"/><Relationship Id="rId164" Type="http://schemas.openxmlformats.org/officeDocument/2006/relationships/hyperlink" Target="https://www.karriere.at/jobs/7785812" TargetMode="External"/><Relationship Id="rId165" Type="http://schemas.openxmlformats.org/officeDocument/2006/relationships/hyperlink" Target="https://www.karriere.at/f/epunkt-linz" TargetMode="External"/><Relationship Id="rId166" Type="http://schemas.openxmlformats.org/officeDocument/2006/relationships/hyperlink" Target="https://www.karriere.at/jobs/10030769" TargetMode="External"/><Relationship Id="rId167" Type="http://schemas.openxmlformats.org/officeDocument/2006/relationships/hyperlink" Target="https://www.karriere.at/f/x-tention-informationstechnologie" TargetMode="External"/><Relationship Id="rId168" Type="http://schemas.openxmlformats.org/officeDocument/2006/relationships/hyperlink" Target="https://www.karriere.at/jobs/7839089" TargetMode="External"/><Relationship Id="rId169" Type="http://schemas.openxmlformats.org/officeDocument/2006/relationships/hyperlink" Target="https://bewerbung.acp-gruppe.com/at/rx/1178" TargetMode="External"/><Relationship Id="rId170" Type="http://schemas.openxmlformats.org/officeDocument/2006/relationships/hyperlink" Target="https://www.karriere.at/f/acp-gruppe" TargetMode="External"/><Relationship Id="rId171" Type="http://schemas.openxmlformats.org/officeDocument/2006/relationships/hyperlink" Target="https://www.linkedin.com/jobs/view/4467166977" TargetMode="External"/><Relationship Id="rId172" Type="http://schemas.openxmlformats.org/officeDocument/2006/relationships/hyperlink" Target="https://at.linkedin.com/company/ottoaustriagroup" TargetMode="External"/><Relationship Id="rId173" Type="http://schemas.openxmlformats.org/officeDocument/2006/relationships/hyperlink" Target="https://www.karriere.at/jobs/7864783" TargetMode="External"/><Relationship Id="rId174" Type="http://schemas.openxmlformats.org/officeDocument/2006/relationships/hyperlink" Target="https://www.linkedin.com/jobs/view/4457605563" TargetMode="External"/><Relationship Id="rId175" Type="http://schemas.openxmlformats.org/officeDocument/2006/relationships/hyperlink" Target="https://www.karriere.at/f/bwt-holding-gmbh" TargetMode="External"/><Relationship Id="rId176" Type="http://schemas.openxmlformats.org/officeDocument/2006/relationships/hyperlink" Target="https://www.linkedin.com/jobs/view/4079343035" TargetMode="External"/><Relationship Id="rId177" Type="http://schemas.openxmlformats.org/officeDocument/2006/relationships/hyperlink" Target="https://de.linkedin.com/company/vesterling" TargetMode="External"/><Relationship Id="rId178" Type="http://schemas.openxmlformats.org/officeDocument/2006/relationships/hyperlink" Target="https://www.karriere.at/jobs/10028895" TargetMode="External"/><Relationship Id="rId179" Type="http://schemas.openxmlformats.org/officeDocument/2006/relationships/hyperlink" Target="https://www.karriere.at/f/scri-limcr-gem" TargetMode="External"/><Relationship Id="rId180" Type="http://schemas.openxmlformats.org/officeDocument/2006/relationships/hyperlink" Target="https://www.linkedin.com/jobs/view/4467812372" TargetMode="External"/><Relationship Id="rId181" Type="http://schemas.openxmlformats.org/officeDocument/2006/relationships/hyperlink" Target="https://ro.linkedin.com/company/career-advisor" TargetMode="External"/><Relationship Id="rId182" Type="http://schemas.openxmlformats.org/officeDocument/2006/relationships/hyperlink" Target="https://www.karriere.at/jobs/7876942" TargetMode="External"/><Relationship Id="rId183" Type="http://schemas.openxmlformats.org/officeDocument/2006/relationships/hyperlink" Target="https://www.linkedin.com/jobs/view/4466532375" TargetMode="External"/><Relationship Id="rId184" Type="http://schemas.openxmlformats.org/officeDocument/2006/relationships/hyperlink" Target="https://www.karriere.at/f/nts" TargetMode="External"/><Relationship Id="rId185" Type="http://schemas.openxmlformats.org/officeDocument/2006/relationships/hyperlink" Target="https://www.karriere.at/jobs/7852112" TargetMode="External"/><Relationship Id="rId186" Type="http://schemas.openxmlformats.org/officeDocument/2006/relationships/hyperlink" Target="https://www.karriere.at/jobs/7877971" TargetMode="External"/><Relationship Id="rId187" Type="http://schemas.openxmlformats.org/officeDocument/2006/relationships/hyperlink" Target="https://www.karriere.at/f/kern-engineering-careers" TargetMode="External"/><Relationship Id="rId188" Type="http://schemas.openxmlformats.org/officeDocument/2006/relationships/hyperlink" Target="https://www.linkedin.com/jobs/view/4471875916" TargetMode="External"/><Relationship Id="rId189" Type="http://schemas.openxmlformats.org/officeDocument/2006/relationships/hyperlink" Target="https://www.linkedin.com/company/ip50" TargetMode="External"/><Relationship Id="rId190" Type="http://schemas.openxmlformats.org/officeDocument/2006/relationships/hyperlink" Target="https://www.karriere.at/jobs/7830557" TargetMode="External"/><Relationship Id="rId191" Type="http://schemas.openxmlformats.org/officeDocument/2006/relationships/hyperlink" Target="https://www.karriere.at/f/acp-gruppe" TargetMode="External"/><Relationship Id="rId192" Type="http://schemas.openxmlformats.org/officeDocument/2006/relationships/hyperlink" Target="https://www.linkedin.com/jobs/view/4443244554" TargetMode="External"/><Relationship Id="rId193" Type="http://schemas.openxmlformats.org/officeDocument/2006/relationships/hyperlink" Target="https://de.linkedin.com/company/hemmersbach" TargetMode="External"/><Relationship Id="rId194" Type="http://schemas.openxmlformats.org/officeDocument/2006/relationships/hyperlink" Target="https://www.karriere.at/jobs/10031586" TargetMode="External"/><Relationship Id="rId195" Type="http://schemas.openxmlformats.org/officeDocument/2006/relationships/hyperlink" Target="https://www.karriere.at/f/standout-gmbh" TargetMode="External"/><Relationship Id="rId196" Type="http://schemas.openxmlformats.org/officeDocument/2006/relationships/hyperlink" Target="https://www.karriere.at/jobs/7879333" TargetMode="External"/><Relationship Id="rId197" Type="http://schemas.openxmlformats.org/officeDocument/2006/relationships/hyperlink" Target="https://www.karriere.at/f/kpmg-&#246;sterreich" TargetMode="External"/><Relationship Id="rId198" Type="http://schemas.openxmlformats.org/officeDocument/2006/relationships/hyperlink" Target="https://www.karriere.at/jobs/7875835" TargetMode="External"/><Relationship Id="rId199" Type="http://schemas.openxmlformats.org/officeDocument/2006/relationships/hyperlink" Target="https://www.linkedin.com/jobs/view/4466158169" TargetMode="External"/><Relationship Id="rId200" Type="http://schemas.openxmlformats.org/officeDocument/2006/relationships/hyperlink" Target="https://www.karriere.at/f/peneder-unternehmensgruppe" TargetMode="External"/><Relationship Id="rId201" Type="http://schemas.openxmlformats.org/officeDocument/2006/relationships/hyperlink" Target="https://www.karriere.at/jobs/7831022" TargetMode="External"/><Relationship Id="rId202" Type="http://schemas.openxmlformats.org/officeDocument/2006/relationships/hyperlink" Target="https://www.karriere.at/f/&#246;wd-security-services" TargetMode="External"/><Relationship Id="rId203" Type="http://schemas.openxmlformats.org/officeDocument/2006/relationships/hyperlink" Target="https://www.karriere.at/jobs/7839275" TargetMode="External"/><Relationship Id="rId204" Type="http://schemas.openxmlformats.org/officeDocument/2006/relationships/hyperlink" Target="https://www.karriere.at/f/salzburg-f&#252;r-energie-verkehr-und-telekommunikation" TargetMode="External"/><Relationship Id="rId205" Type="http://schemas.openxmlformats.org/officeDocument/2006/relationships/hyperlink" Target="https://www.linkedin.com/jobs/view/4468177192" TargetMode="External"/><Relationship Id="rId206" Type="http://schemas.openxmlformats.org/officeDocument/2006/relationships/hyperlink" Target="https://at.linkedin.com/company/eworx-at" TargetMode="External"/><Relationship Id="rId207" Type="http://schemas.openxmlformats.org/officeDocument/2006/relationships/hyperlink" Target="https://www.karriere.at/jobs/10030035" TargetMode="External"/><Relationship Id="rId208" Type="http://schemas.openxmlformats.org/officeDocument/2006/relationships/hyperlink" Target="https://www.karriere.at/f/x-tention-informationstechnologie" TargetMode="External"/><Relationship Id="rId209" Type="http://schemas.openxmlformats.org/officeDocument/2006/relationships/hyperlink" Target="https://www.karriere.at/jobs/7861873" TargetMode="External"/><Relationship Id="rId210" Type="http://schemas.openxmlformats.org/officeDocument/2006/relationships/hyperlink" Target="https://www.karriere.at/f/beko-engineering-informatik-wien" TargetMode="External"/><Relationship Id="rId211" Type="http://schemas.openxmlformats.org/officeDocument/2006/relationships/hyperlink" Target="https://www.karriere.at/jobs/7833350" TargetMode="External"/><Relationship Id="rId212" Type="http://schemas.openxmlformats.org/officeDocument/2006/relationships/hyperlink" Target="https://www.karriere.at/f/raiffeisen-ober&#246;sterreich" TargetMode="External"/><Relationship Id="rId213" Type="http://schemas.openxmlformats.org/officeDocument/2006/relationships/hyperlink" Target="https://www.karriere.at/jobs/7857257" TargetMode="External"/><Relationship Id="rId214" Type="http://schemas.openxmlformats.org/officeDocument/2006/relationships/hyperlink" Target="https://www.karriere.at/f/windhager-handelsgesmbh" TargetMode="External"/><Relationship Id="rId215" Type="http://schemas.openxmlformats.org/officeDocument/2006/relationships/hyperlink" Target="https://www.karriere.at/jobs/7875151" TargetMode="External"/><Relationship Id="rId216" Type="http://schemas.openxmlformats.org/officeDocument/2006/relationships/hyperlink" Target="https://www.linkedin.com/jobs/view/4466047572" TargetMode="External"/><Relationship Id="rId217" Type="http://schemas.openxmlformats.org/officeDocument/2006/relationships/hyperlink" Target="https://www.karriere.at/f/spar-ics-information-communication-services" TargetMode="External"/><Relationship Id="rId218" Type="http://schemas.openxmlformats.org/officeDocument/2006/relationships/hyperlink" Target="https://www.karriere.at/jobs/7877968" TargetMode="External"/><Relationship Id="rId219" Type="http://schemas.openxmlformats.org/officeDocument/2006/relationships/hyperlink" Target="https://www.karriere.at/f/kern-engineering-careers" TargetMode="External"/><Relationship Id="rId220" Type="http://schemas.openxmlformats.org/officeDocument/2006/relationships/hyperlink" Target="https://www.karriere.at/jobs/10031668" TargetMode="External"/><Relationship Id="rId221" Type="http://schemas.openxmlformats.org/officeDocument/2006/relationships/hyperlink" Target="https://www.karriere.at/f/aptiv-mobility-services-austria-mat" TargetMode="External"/><Relationship Id="rId222" Type="http://schemas.openxmlformats.org/officeDocument/2006/relationships/hyperlink" Target="https://www.karriere.at/jobs/10029254" TargetMode="External"/><Relationship Id="rId223" Type="http://schemas.openxmlformats.org/officeDocument/2006/relationships/hyperlink" Target="https://www.karriere.at/f/walter-werkzeuge-salzburg" TargetMode="External"/><Relationship Id="rId224" Type="http://schemas.openxmlformats.org/officeDocument/2006/relationships/hyperlink" Target="https://www.karriere.at/jobs/10032397" TargetMode="External"/><Relationship Id="rId225" Type="http://schemas.openxmlformats.org/officeDocument/2006/relationships/hyperlink" Target="https://www.karriere.at/f/nic-at" TargetMode="External"/><Relationship Id="rId226" Type="http://schemas.openxmlformats.org/officeDocument/2006/relationships/hyperlink" Target="https://www.linkedin.com/jobs/view/4464551042" TargetMode="External"/><Relationship Id="rId227" Type="http://schemas.openxmlformats.org/officeDocument/2006/relationships/hyperlink" Target="https://at.linkedin.com/company/starcon-hr-experts" TargetMode="External"/><Relationship Id="rId228" Type="http://schemas.openxmlformats.org/officeDocument/2006/relationships/hyperlink" Target="https://www.linkedin.com/jobs/view/4455712644" TargetMode="External"/><Relationship Id="rId229" Type="http://schemas.openxmlformats.org/officeDocument/2006/relationships/hyperlink" Target="https://at.linkedin.com/company/sparics" TargetMode="External"/><Relationship Id="rId230" Type="http://schemas.openxmlformats.org/officeDocument/2006/relationships/hyperlink" Target="https://www.karriere.at/jobs/7852328" TargetMode="External"/><Relationship Id="rId231" Type="http://schemas.openxmlformats.org/officeDocument/2006/relationships/hyperlink" Target="https://www.karriere.at/f/stieglbrauerei-zu-salzburg" TargetMode="External"/><Relationship Id="rId232" Type="http://schemas.openxmlformats.org/officeDocument/2006/relationships/hyperlink" Target="https://www.karriere.at/jobs/10032935" TargetMode="External"/><Relationship Id="rId233" Type="http://schemas.openxmlformats.org/officeDocument/2006/relationships/hyperlink" Target="https://www.karriere.at/f/se-austria-co" TargetMode="External"/><Relationship Id="rId234" Type="http://schemas.openxmlformats.org/officeDocument/2006/relationships/hyperlink" Target="https://www.karriere.at/jobs/7822727" TargetMode="External"/><Relationship Id="rId235" Type="http://schemas.openxmlformats.org/officeDocument/2006/relationships/hyperlink" Target="https://www.karriere.at/f/salzburg-f&#252;r-energie-verkehr-und-telekommunikation" TargetMode="External"/><Relationship Id="rId236" Type="http://schemas.openxmlformats.org/officeDocument/2006/relationships/hyperlink" Target="https://www.karriere.at/jobs/10030185" TargetMode="External"/><Relationship Id="rId237" Type="http://schemas.openxmlformats.org/officeDocument/2006/relationships/hyperlink" Target="https://www.karriere.at/f/myflexbox-austria" TargetMode="External"/><Relationship Id="rId238" Type="http://schemas.openxmlformats.org/officeDocument/2006/relationships/hyperlink" Target="https://www.karriere.at/jobs/7875829" TargetMode="External"/><Relationship Id="rId239" Type="http://schemas.openxmlformats.org/officeDocument/2006/relationships/hyperlink" Target="https://www.linkedin.com/jobs/view/4466149299" TargetMode="External"/><Relationship Id="rId240" Type="http://schemas.openxmlformats.org/officeDocument/2006/relationships/hyperlink" Target="https://www.karriere.at/f/peneder-unternehmensgruppe" TargetMode="External"/><Relationship Id="rId241" Type="http://schemas.openxmlformats.org/officeDocument/2006/relationships/hyperlink" Target="https://www.karriere.at/jobs/7867051" TargetMode="External"/><Relationship Id="rId242" Type="http://schemas.openxmlformats.org/officeDocument/2006/relationships/hyperlink" Target="https://www.karriere.at/f/epunkt-linz" TargetMode="External"/><Relationship Id="rId243" Type="http://schemas.openxmlformats.org/officeDocument/2006/relationships/hyperlink" Target="https://www.linkedin.com/jobs/view/4468259260" TargetMode="External"/><Relationship Id="rId244" Type="http://schemas.openxmlformats.org/officeDocument/2006/relationships/hyperlink" Target="https://at.linkedin.com/company/porsche-holding" TargetMode="External"/><Relationship Id="rId245" Type="http://schemas.openxmlformats.org/officeDocument/2006/relationships/hyperlink" Target="https://www.linkedin.com/jobs/view/4465980516" TargetMode="External"/><Relationship Id="rId246" Type="http://schemas.openxmlformats.org/officeDocument/2006/relationships/hyperlink" Target="https://www.linkedin.com/jobs/view/4465994367" TargetMode="External"/><Relationship Id="rId247" Type="http://schemas.openxmlformats.org/officeDocument/2006/relationships/hyperlink" Target="https://at.linkedin.com/company/hai-hammerer-aluminium-industries-gmbh" TargetMode="External"/><Relationship Id="rId248" Type="http://schemas.openxmlformats.org/officeDocument/2006/relationships/hyperlink" Target="https://www.linkedin.com/jobs/view/4470313878" TargetMode="External"/><Relationship Id="rId249" Type="http://schemas.openxmlformats.org/officeDocument/2006/relationships/hyperlink" Target="https://at.linkedin.com/company/skidata-ag" TargetMode="External"/><Relationship Id="rId250" Type="http://schemas.openxmlformats.org/officeDocument/2006/relationships/hyperlink" Target="https://www.karriere.at/jobs/10031783" TargetMode="External"/><Relationship Id="rId251" Type="http://schemas.openxmlformats.org/officeDocument/2006/relationships/hyperlink" Target="https://www.karriere.at/f/tauernkliniken-zell-am-see" TargetMode="External"/><Relationship Id="rId252" Type="http://schemas.openxmlformats.org/officeDocument/2006/relationships/hyperlink" Target="https://bewerbung.acp-gruppe.com/at/rx/905" TargetMode="External"/><Relationship Id="rId253" Type="http://schemas.openxmlformats.org/officeDocument/2006/relationships/hyperlink" Target="https://bewerbung.acp-gruppe.com/at" TargetMode="External"/><Relationship Id="rId254" Type="http://schemas.openxmlformats.org/officeDocument/2006/relationships/hyperlink" Target="https://www.karriere.at/jobs/7862488" TargetMode="External"/><Relationship Id="rId255" Type="http://schemas.openxmlformats.org/officeDocument/2006/relationships/hyperlink" Target="https://www.karriere.at/f/ramsauer-josef-kreidewerk" TargetMode="External"/><Relationship Id="rId256" Type="http://schemas.openxmlformats.org/officeDocument/2006/relationships/hyperlink" Target="https://www.karriere.at/jobs/7838495" TargetMode="External"/><Relationship Id="rId257" Type="http://schemas.openxmlformats.org/officeDocument/2006/relationships/hyperlink" Target="https://www.karriere.at/f/cancomaustria" TargetMode="External"/><Relationship Id="rId258" Type="http://schemas.openxmlformats.org/officeDocument/2006/relationships/hyperlink" Target="https://www.karriere.at/jobs/7860421" TargetMode="External"/><Relationship Id="rId259" Type="http://schemas.openxmlformats.org/officeDocument/2006/relationships/hyperlink" Target="https://www.karriere.at/f/beko-engineering-informatik-wien" TargetMode="External"/><Relationship Id="rId260" Type="http://schemas.openxmlformats.org/officeDocument/2006/relationships/hyperlink" Target="https://www.karriere.at/jobs/10028951" TargetMode="External"/><Relationship Id="rId261" Type="http://schemas.openxmlformats.org/officeDocument/2006/relationships/hyperlink" Target="https://www.karriere.at/f/lebenshilfe-ober&#246;sterreich" TargetMode="External"/><Relationship Id="rId262" Type="http://schemas.openxmlformats.org/officeDocument/2006/relationships/hyperlink" Target="https://www.karriere.at/jobs/7880215" TargetMode="External"/><Relationship Id="rId263" Type="http://schemas.openxmlformats.org/officeDocument/2006/relationships/hyperlink" Target="https://www.karriere.at/f/axians-ict-austria" TargetMode="External"/><Relationship Id="rId264" Type="http://schemas.openxmlformats.org/officeDocument/2006/relationships/hyperlink" Target="https://www.karriere.at/jobs/10032853" TargetMode="External"/><Relationship Id="rId265" Type="http://schemas.openxmlformats.org/officeDocument/2006/relationships/hyperlink" Target="https://www.karriere.at/f/laturo-personalservice" TargetMode="External"/><Relationship Id="rId266" Type="http://schemas.openxmlformats.org/officeDocument/2006/relationships/hyperlink" Target="https://www.karriere.at/jobs/10033505" TargetMode="External"/><Relationship Id="rId267" Type="http://schemas.openxmlformats.org/officeDocument/2006/relationships/hyperlink" Target="https://www.karriere.at/f/unifits-austria" TargetMode="External"/><Relationship Id="rId268" Type="http://schemas.openxmlformats.org/officeDocument/2006/relationships/hyperlink" Target="https://www.karriere.at/jobs/10031056" TargetMode="External"/><Relationship Id="rId269" Type="http://schemas.openxmlformats.org/officeDocument/2006/relationships/hyperlink" Target="https://www.karriere.at/f/ever-pharma" TargetMode="External"/><Relationship Id="rId270" Type="http://schemas.openxmlformats.org/officeDocument/2006/relationships/hyperlink" Target="https://www.karriere.at/jobs/10030479" TargetMode="External"/><Relationship Id="rId271" Type="http://schemas.openxmlformats.org/officeDocument/2006/relationships/hyperlink" Target="https://www.karriere.at/f/eurofunk-kappacher" TargetMode="External"/><Relationship Id="rId272" Type="http://schemas.openxmlformats.org/officeDocument/2006/relationships/hyperlink" Target="https://www.karriere.at/jobs/7796165" TargetMode="External"/><Relationship Id="rId273" Type="http://schemas.openxmlformats.org/officeDocument/2006/relationships/hyperlink" Target="https://www.linkedin.com/jobs/view/4408822098" TargetMode="External"/><Relationship Id="rId274" Type="http://schemas.openxmlformats.org/officeDocument/2006/relationships/hyperlink" Target="https://www.karriere.at/f/w&#252;stenrot-technology" TargetMode="External"/><Relationship Id="rId275" Type="http://schemas.openxmlformats.org/officeDocument/2006/relationships/drawing" Target="../drawings/drawing1.xml"/><Relationship Id="rId276"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https://www.karriere.at/f/red-bull" TargetMode="External"/><Relationship Id="rId2" Type="http://schemas.openxmlformats.org/officeDocument/2006/relationships/hyperlink" Target="https://jobs.redbull.com/at-de" TargetMode="External"/><Relationship Id="rId3" Type="http://schemas.openxmlformats.org/officeDocument/2006/relationships/hyperlink" Target="https://www.karriere.at/f/skidata" TargetMode="External"/><Relationship Id="rId4" Type="http://schemas.openxmlformats.org/officeDocument/2006/relationships/hyperlink" Target="https://www.linkedin.com/company/transunion" TargetMode="External"/><Relationship Id="rId5" Type="http://schemas.openxmlformats.org/officeDocument/2006/relationships/hyperlink" Target="https://transunion.wd5.myworkdayjobs.com/TransUnion" TargetMode="External"/><Relationship Id="rId6" Type="http://schemas.openxmlformats.org/officeDocument/2006/relationships/hyperlink" Target="https://fi.linkedin.com/company/amer-sports" TargetMode="External"/><Relationship Id="rId7" Type="http://schemas.openxmlformats.org/officeDocument/2006/relationships/hyperlink" Target="https://www.karriere.at/f/epunkt-linz" TargetMode="External"/><Relationship Id="rId8" Type="http://schemas.openxmlformats.org/officeDocument/2006/relationships/hyperlink" Target="https://job.epunkt.com/jobs/" TargetMode="External"/><Relationship Id="rId9" Type="http://schemas.openxmlformats.org/officeDocument/2006/relationships/hyperlink" Target="https://at.linkedin.com/company/rehrl-partner-personalberatung-gmbh" TargetMode="External"/><Relationship Id="rId10" Type="http://schemas.openxmlformats.org/officeDocument/2006/relationships/hyperlink" Target="https://www.rehrl.at/jobs/" TargetMode="External"/><Relationship Id="rId11" Type="http://schemas.openxmlformats.org/officeDocument/2006/relationships/hyperlink" Target="https://www.karriere.at/f/kern-engineering-careers" TargetMode="External"/><Relationship Id="rId12" Type="http://schemas.openxmlformats.org/officeDocument/2006/relationships/hyperlink" Target="https://www.karriere.at/f/salzburger-abfallbeseitigung" TargetMode="External"/><Relationship Id="rId13" Type="http://schemas.openxmlformats.org/officeDocument/2006/relationships/hyperlink" Target="https://www.salzburg-ag.at/karriere/wir-als-arbeitgeber.html" TargetMode="External"/><Relationship Id="rId14" Type="http://schemas.openxmlformats.org/officeDocument/2006/relationships/hyperlink" Target="https://at.linkedin.com/company/palfinger" TargetMode="External"/><Relationship Id="rId15" Type="http://schemas.openxmlformats.org/officeDocument/2006/relationships/hyperlink" Target="https://www.palfinger.com/worldwide/en/career.html" TargetMode="External"/><Relationship Id="rId16" Type="http://schemas.openxmlformats.org/officeDocument/2006/relationships/hyperlink" Target="https://de.linkedin.com/company/xenium-ag" TargetMode="External"/><Relationship Id="rId17" Type="http://schemas.openxmlformats.org/officeDocument/2006/relationships/hyperlink" Target="https://www.linkedin.com/company/aptean" TargetMode="External"/><Relationship Id="rId18" Type="http://schemas.openxmlformats.org/officeDocument/2006/relationships/hyperlink" Target="https://www.karriere.at/f/x-tention-informationstechnologie" TargetMode="External"/><Relationship Id="rId19" Type="http://schemas.openxmlformats.org/officeDocument/2006/relationships/hyperlink" Target="https://x-tention.com/en/career" TargetMode="External"/><Relationship Id="rId20" Type="http://schemas.openxmlformats.org/officeDocument/2006/relationships/hyperlink" Target="https://at.linkedin.com/company/soulkitchen-group" TargetMode="External"/><Relationship Id="rId21" Type="http://schemas.openxmlformats.org/officeDocument/2006/relationships/hyperlink" Target="https://www.linkedin.com/company/hr-consulting-ines-sch&#246;ffmann-gmbh" TargetMode="External"/><Relationship Id="rId22" Type="http://schemas.openxmlformats.org/officeDocument/2006/relationships/hyperlink" Target="https://hr-schoeffmann.at/" TargetMode="External"/><Relationship Id="rId23" Type="http://schemas.openxmlformats.org/officeDocument/2006/relationships/hyperlink" Target="https://www.karriere.at/f/spar-ics-information-communication-services" TargetMode="External"/><Relationship Id="rId24" Type="http://schemas.openxmlformats.org/officeDocument/2006/relationships/hyperlink" Target="https://www.linkedin.com/company/deloitte" TargetMode="External"/><Relationship Id="rId25" Type="http://schemas.openxmlformats.org/officeDocument/2006/relationships/hyperlink" Target="https://at.linkedin.com/company/skidata-ag" TargetMode="External"/><Relationship Id="rId26" Type="http://schemas.openxmlformats.org/officeDocument/2006/relationships/hyperlink" Target="https://www.karriere.at/f/reqpool" TargetMode="External"/><Relationship Id="rId27" Type="http://schemas.openxmlformats.org/officeDocument/2006/relationships/hyperlink" Target="https://www.karriere.at/f/ktm" TargetMode="External"/><Relationship Id="rId28" Type="http://schemas.openxmlformats.org/officeDocument/2006/relationships/hyperlink" Target="https://www.karriere.at/f/acp-gruppe" TargetMode="External"/><Relationship Id="rId29" Type="http://schemas.openxmlformats.org/officeDocument/2006/relationships/hyperlink" Target="https://bewerbung.acp-gruppe.com/at" TargetMode="External"/><Relationship Id="rId30" Type="http://schemas.openxmlformats.org/officeDocument/2006/relationships/hyperlink" Target="https://www.karriere.at/f/senoplast-klepsch" TargetMode="External"/><Relationship Id="rId31" Type="http://schemas.openxmlformats.org/officeDocument/2006/relationships/hyperlink" Target="https://www.senoplast.com/de/karriere/karriere-bei-senoplast/" TargetMode="External"/><Relationship Id="rId32" Type="http://schemas.openxmlformats.org/officeDocument/2006/relationships/hyperlink" Target="https://www.karriere.at/f/arvai-plastics" TargetMode="External"/><Relationship Id="rId33" Type="http://schemas.openxmlformats.org/officeDocument/2006/relationships/hyperlink" Target="https://www.karriere.at/f/messezentrum-salzburg" TargetMode="External"/><Relationship Id="rId34" Type="http://schemas.openxmlformats.org/officeDocument/2006/relationships/hyperlink" Target="https://www.salzburg-ag.at/karriere/wir-als-arbeitgeber.html" TargetMode="External"/><Relationship Id="rId35" Type="http://schemas.openxmlformats.org/officeDocument/2006/relationships/hyperlink" Target="https://at.linkedin.com/school/universitaet-salzburg/" TargetMode="External"/><Relationship Id="rId36" Type="http://schemas.openxmlformats.org/officeDocument/2006/relationships/hyperlink" Target="https://www.salzburg-ag.at/karriere/wir-als-arbeitgeber.html" TargetMode="External"/><Relationship Id="rId37" Type="http://schemas.openxmlformats.org/officeDocument/2006/relationships/hyperlink" Target="https://www.linkedin.com/company/ip50" TargetMode="External"/><Relationship Id="rId38" Type="http://schemas.openxmlformats.org/officeDocument/2006/relationships/hyperlink" Target="https://hr-schoeffmann.at/" TargetMode="External"/><Relationship Id="rId39" Type="http://schemas.openxmlformats.org/officeDocument/2006/relationships/hyperlink" Target="https://www.karriere.at/f/sanitas" TargetMode="External"/><Relationship Id="rId40" Type="http://schemas.openxmlformats.org/officeDocument/2006/relationships/hyperlink" Target="https://www.sanitas.at/karriere" TargetMode="External"/><Relationship Id="rId41" Type="http://schemas.openxmlformats.org/officeDocument/2006/relationships/hyperlink" Target="https://www.karriere.at/f/dbconcepts" TargetMode="External"/><Relationship Id="rId42" Type="http://schemas.openxmlformats.org/officeDocument/2006/relationships/hyperlink" Target="https://www.karriere.at/f/&#246;sterreichische-gesundheitskasse-wien" TargetMode="External"/><Relationship Id="rId43" Type="http://schemas.openxmlformats.org/officeDocument/2006/relationships/hyperlink" Target="https://de.linkedin.com/company/arineo" TargetMode="External"/><Relationship Id="rId44" Type="http://schemas.openxmlformats.org/officeDocument/2006/relationships/hyperlink" Target="https://at.linkedin.com/company/iventagroup" TargetMode="External"/><Relationship Id="rId45" Type="http://schemas.openxmlformats.org/officeDocument/2006/relationships/hyperlink" Target="https://www.karriere.at/f/kpmg-&#246;sterreich" TargetMode="External"/><Relationship Id="rId46" Type="http://schemas.openxmlformats.org/officeDocument/2006/relationships/hyperlink" Target="https://www.karriere.at/f/teampool-personalberatung" TargetMode="External"/><Relationship Id="rId47" Type="http://schemas.openxmlformats.org/officeDocument/2006/relationships/hyperlink" Target="https://www.karriere.at/f/sigmatek" TargetMode="External"/><Relationship Id="rId48" Type="http://schemas.openxmlformats.org/officeDocument/2006/relationships/hyperlink" Target="https://www.sigmatek-automation.com/de/karriere/" TargetMode="External"/><Relationship Id="rId49" Type="http://schemas.openxmlformats.org/officeDocument/2006/relationships/hyperlink" Target="https://www.karriere.at/f/heimat-&#246;sterreich-gemeinn&#252;tzige-wohnungs-und-siedlungsgesellschaft" TargetMode="External"/><Relationship Id="rId50" Type="http://schemas.openxmlformats.org/officeDocument/2006/relationships/hyperlink" Target="https://www.karriere.at/f/itaurus-it-dienstleistungs-gmbh" TargetMode="External"/><Relationship Id="rId51" Type="http://schemas.openxmlformats.org/officeDocument/2006/relationships/hyperlink" Target="https://www.karriere.at/f/tnt-personalberatung" TargetMode="External"/><Relationship Id="rId52" Type="http://schemas.openxmlformats.org/officeDocument/2006/relationships/hyperlink" Target="https://tntpersonal.at/jobs-stellenanzeigen/" TargetMode="External"/><Relationship Id="rId53" Type="http://schemas.openxmlformats.org/officeDocument/2006/relationships/hyperlink" Target="https://www.karriere.at/f/nts" TargetMode="External"/><Relationship Id="rId54" Type="http://schemas.openxmlformats.org/officeDocument/2006/relationships/hyperlink" Target="https://www.nts.eu/karriere/" TargetMode="External"/><Relationship Id="rId55" Type="http://schemas.openxmlformats.org/officeDocument/2006/relationships/hyperlink" Target="https://www.karriere.at/f/cancomaustria" TargetMode="External"/><Relationship Id="rId56" Type="http://schemas.openxmlformats.org/officeDocument/2006/relationships/hyperlink" Target="https://www.cancom.at/karriere" TargetMode="External"/><Relationship Id="rId57" Type="http://schemas.openxmlformats.org/officeDocument/2006/relationships/hyperlink" Target="https://at.linkedin.com/company/tnt-personal" TargetMode="External"/><Relationship Id="rId58" Type="http://schemas.openxmlformats.org/officeDocument/2006/relationships/hyperlink" Target="https://tntpersonal.at/jobs-stellenanzeigen/" TargetMode="External"/><Relationship Id="rId59" Type="http://schemas.openxmlformats.org/officeDocument/2006/relationships/hyperlink" Target="https://www.karriere.at/f/ginzinger-electronic-systems" TargetMode="External"/><Relationship Id="rId60" Type="http://schemas.openxmlformats.org/officeDocument/2006/relationships/hyperlink" Target="https://www.karriere.at/f/ever-pharma" TargetMode="External"/><Relationship Id="rId61" Type="http://schemas.openxmlformats.org/officeDocument/2006/relationships/hyperlink" Target="https://at.linkedin.com/company/windhagerhandelsgesmbh" TargetMode="External"/><Relationship Id="rId62" Type="http://schemas.openxmlformats.org/officeDocument/2006/relationships/hyperlink" Target="https://www.karriere.at/f/wirtschaftskammer-salzburg" TargetMode="External"/><Relationship Id="rId63" Type="http://schemas.openxmlformats.org/officeDocument/2006/relationships/hyperlink" Target="https://www.salzburg-ag.at/karriere/wir-als-arbeitgeber.html" TargetMode="External"/><Relationship Id="rId64" Type="http://schemas.openxmlformats.org/officeDocument/2006/relationships/hyperlink" Target="https://www.karriere.at/f/salzburg-f&#252;r-energie-verkehr-und-telekommunikation" TargetMode="External"/><Relationship Id="rId65" Type="http://schemas.openxmlformats.org/officeDocument/2006/relationships/hyperlink" Target="https://www.salzburg-ag.at/karriere/wir-als-arbeitgeber.html" TargetMode="External"/><Relationship Id="rId66" Type="http://schemas.openxmlformats.org/officeDocument/2006/relationships/hyperlink" Target="https://www.karriere.at/f/lenzing" TargetMode="External"/><Relationship Id="rId67" Type="http://schemas.openxmlformats.org/officeDocument/2006/relationships/hyperlink" Target="https://www.lenzing.com/de/karriere/" TargetMode="External"/><Relationship Id="rId68" Type="http://schemas.openxmlformats.org/officeDocument/2006/relationships/hyperlink" Target="https://www.karriere.at/f/gastrodat" TargetMode="External"/><Relationship Id="rId69" Type="http://schemas.openxmlformats.org/officeDocument/2006/relationships/hyperlink" Target="https://www.karriere.at/f/salzburger-festspielfonds" TargetMode="External"/><Relationship Id="rId70" Type="http://schemas.openxmlformats.org/officeDocument/2006/relationships/hyperlink" Target="https://www.salzburg-ag.at/karriere/wir-als-arbeitgeber.html" TargetMode="External"/><Relationship Id="rId71" Type="http://schemas.openxmlformats.org/officeDocument/2006/relationships/hyperlink" Target="https://at.linkedin.com/company/ottoaustriagroup" TargetMode="External"/><Relationship Id="rId72" Type="http://schemas.openxmlformats.org/officeDocument/2006/relationships/hyperlink" Target="https://www.karriere.at/f/bwt-holding-gmbh" TargetMode="External"/><Relationship Id="rId73" Type="http://schemas.openxmlformats.org/officeDocument/2006/relationships/hyperlink" Target="https://www.bwt.com/de-at/karriere/" TargetMode="External"/><Relationship Id="rId74" Type="http://schemas.openxmlformats.org/officeDocument/2006/relationships/hyperlink" Target="https://de.linkedin.com/company/vesterling" TargetMode="External"/><Relationship Id="rId75" Type="http://schemas.openxmlformats.org/officeDocument/2006/relationships/hyperlink" Target="https://www.karriere.at/f/scri-limcr-gem" TargetMode="External"/><Relationship Id="rId76" Type="http://schemas.openxmlformats.org/officeDocument/2006/relationships/hyperlink" Target="https://ro.linkedin.com/company/career-advisor" TargetMode="External"/><Relationship Id="rId77" Type="http://schemas.openxmlformats.org/officeDocument/2006/relationships/hyperlink" Target="https://de.linkedin.com/company/hemmersbach" TargetMode="External"/><Relationship Id="rId78" Type="http://schemas.openxmlformats.org/officeDocument/2006/relationships/hyperlink" Target="https://www.karriere.at/f/standout-gmbh" TargetMode="External"/><Relationship Id="rId79" Type="http://schemas.openxmlformats.org/officeDocument/2006/relationships/hyperlink" Target="https://www.karriere.at/f/peneder-unternehmensgruppe" TargetMode="External"/><Relationship Id="rId80" Type="http://schemas.openxmlformats.org/officeDocument/2006/relationships/hyperlink" Target="https://www.karriere.at/f/&#246;wd-security-services" TargetMode="External"/><Relationship Id="rId81" Type="http://schemas.openxmlformats.org/officeDocument/2006/relationships/hyperlink" Target="https://at.linkedin.com/company/eworx-at" TargetMode="External"/><Relationship Id="rId82" Type="http://schemas.openxmlformats.org/officeDocument/2006/relationships/hyperlink" Target="https://www.eworx.at/karriere" TargetMode="External"/><Relationship Id="rId83" Type="http://schemas.openxmlformats.org/officeDocument/2006/relationships/hyperlink" Target="https://www.karriere.at/f/beko-engineering-informatik-wien" TargetMode="External"/><Relationship Id="rId84" Type="http://schemas.openxmlformats.org/officeDocument/2006/relationships/hyperlink" Target="https://www.karriere.at/f/raiffeisen-ober&#246;sterreich" TargetMode="External"/><Relationship Id="rId85" Type="http://schemas.openxmlformats.org/officeDocument/2006/relationships/hyperlink" Target="https://www.karriere.at/f/aptiv-mobility-services-austria-mat" TargetMode="External"/><Relationship Id="rId86" Type="http://schemas.openxmlformats.org/officeDocument/2006/relationships/hyperlink" Target="https://www.aptiv.com/en/jobs" TargetMode="External"/><Relationship Id="rId87" Type="http://schemas.openxmlformats.org/officeDocument/2006/relationships/hyperlink" Target="https://www.karriere.at/f/walter-werkzeuge-salzburg" TargetMode="External"/><Relationship Id="rId88" Type="http://schemas.openxmlformats.org/officeDocument/2006/relationships/hyperlink" Target="https://www.salzburg-ag.at/karriere/wir-als-arbeitgeber.html" TargetMode="External"/><Relationship Id="rId89" Type="http://schemas.openxmlformats.org/officeDocument/2006/relationships/hyperlink" Target="https://www.karriere.at/f/nic-at" TargetMode="External"/><Relationship Id="rId90" Type="http://schemas.openxmlformats.org/officeDocument/2006/relationships/hyperlink" Target="https://at.linkedin.com/company/starcon-hr-experts" TargetMode="External"/><Relationship Id="rId91" Type="http://schemas.openxmlformats.org/officeDocument/2006/relationships/hyperlink" Target="https://hr-schoeffmann.at/" TargetMode="External"/><Relationship Id="rId92" Type="http://schemas.openxmlformats.org/officeDocument/2006/relationships/hyperlink" Target="https://at.linkedin.com/company/sparics" TargetMode="External"/><Relationship Id="rId93" Type="http://schemas.openxmlformats.org/officeDocument/2006/relationships/hyperlink" Target="https://www.karriere.at/f/stieglbrauerei-zu-salzburg" TargetMode="External"/><Relationship Id="rId94" Type="http://schemas.openxmlformats.org/officeDocument/2006/relationships/hyperlink" Target="https://www.salzburg-ag.at/karriere/wir-als-arbeitgeber.html" TargetMode="External"/><Relationship Id="rId95" Type="http://schemas.openxmlformats.org/officeDocument/2006/relationships/hyperlink" Target="https://www.karriere.at/f/se-austria-co" TargetMode="External"/><Relationship Id="rId96" Type="http://schemas.openxmlformats.org/officeDocument/2006/relationships/hyperlink" Target="https://www.karriere.at/f/myflexbox-austria" TargetMode="External"/><Relationship Id="rId97" Type="http://schemas.openxmlformats.org/officeDocument/2006/relationships/hyperlink" Target="https://at.linkedin.com/company/porsche-holding" TargetMode="External"/><Relationship Id="rId98" Type="http://schemas.openxmlformats.org/officeDocument/2006/relationships/hyperlink" Target="https://at.linkedin.com/company/hai-hammerer-aluminium-industries-gmbh" TargetMode="External"/><Relationship Id="rId99" Type="http://schemas.openxmlformats.org/officeDocument/2006/relationships/hyperlink" Target="https://hai-aluminium.career.softgarden.de/" TargetMode="External"/><Relationship Id="rId100" Type="http://schemas.openxmlformats.org/officeDocument/2006/relationships/hyperlink" Target="https://www.karriere.at/f/tauernkliniken-zell-am-see" TargetMode="External"/><Relationship Id="rId101" Type="http://schemas.openxmlformats.org/officeDocument/2006/relationships/hyperlink" Target="https://www.karriere.at/f/ramsauer-josef-kreidewerk" TargetMode="External"/><Relationship Id="rId102" Type="http://schemas.openxmlformats.org/officeDocument/2006/relationships/hyperlink" Target="https://www.karriere.at/f/lebenshilfe-ober&#246;sterreich" TargetMode="External"/><Relationship Id="rId103" Type="http://schemas.openxmlformats.org/officeDocument/2006/relationships/hyperlink" Target="https://www.karriere.at/f/axians-ict-austria" TargetMode="External"/><Relationship Id="rId104" Type="http://schemas.openxmlformats.org/officeDocument/2006/relationships/hyperlink" Target="https://www.karriere.at/f/laturo-personalservice" TargetMode="External"/><Relationship Id="rId105" Type="http://schemas.openxmlformats.org/officeDocument/2006/relationships/hyperlink" Target="https://www.karriere.at/f/unifits-austria" TargetMode="External"/><Relationship Id="rId106" Type="http://schemas.openxmlformats.org/officeDocument/2006/relationships/hyperlink" Target="https://www.karriere.at/f/eurofunk-kappacher" TargetMode="External"/><Relationship Id="rId107" Type="http://schemas.openxmlformats.org/officeDocument/2006/relationships/hyperlink" Target="https://www.karriere.at/f/w&#252;stenrot-technology" TargetMode="External"/><Relationship Id="rId108"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www.schulmeister-consulting.com/de/fuer-bewerberinnen/jobs-finden" TargetMode="External"/><Relationship Id="rId2" Type="http://schemas.openxmlformats.org/officeDocument/2006/relationships/hyperlink" Target="https://www.epunkt.com/standort/salzburg/" TargetMode="External"/><Relationship Id="rId3" Type="http://schemas.openxmlformats.org/officeDocument/2006/relationships/hyperlink" Target="https://jobs.ams.at/" TargetMode="External"/><Relationship Id="rId4" Type="http://schemas.openxmlformats.org/officeDocument/2006/relationships/hyperlink" Target="https://hr-schoeffmann.at/" TargetMode="External"/><Relationship Id="rId5" Type="http://schemas.openxmlformats.org/officeDocument/2006/relationships/hyperlink" Target="https://www.iventa.eu/" TargetMode="External"/><Relationship Id="rId6" Type="http://schemas.openxmlformats.org/officeDocument/2006/relationships/hyperlink" Target="https://www.rehrl.at/" TargetMode="External"/><Relationship Id="rId7" Type="http://schemas.openxmlformats.org/officeDocument/2006/relationships/hyperlink" Target="https://www.hapeko.at/standorte/salzburg" TargetMode="External"/><Relationship Id="rId8" Type="http://schemas.openxmlformats.org/officeDocument/2006/relationships/hyperlink" Target="https://www.mbmc.at/personalberatung/salzburg/" TargetMode="External"/><Relationship Id="rId9" Type="http://schemas.openxmlformats.org/officeDocument/2006/relationships/hyperlink" Target="https://www.karriere.at/f/kern-engineering-careers" TargetMode="External"/><Relationship Id="rId10" Type="http://schemas.openxmlformats.org/officeDocument/2006/relationships/hyperlink" Target="https://www.linkedin.com/company/ip50" TargetMode="External"/><Relationship Id="rId11" Type="http://schemas.openxmlformats.org/officeDocument/2006/relationships/hyperlink" Target="https://www.techsearch.at/jobs/269996-SPTS/it-team-leiter-w-m-d" TargetMode="External"/><Relationship Id="rId12" Type="http://schemas.openxmlformats.org/officeDocument/2006/relationships/hyperlink" Target="https://www.gointerim.com/" TargetMode="External"/><Relationship Id="rId13" Type="http://schemas.openxmlformats.org/officeDocument/2006/relationships/hyperlink" Target="https://tntpersonal.at/jobs-stellenanzeigen/" TargetMode="External"/><Relationship Id="rId14" Type="http://schemas.openxmlformats.org/officeDocument/2006/relationships/hyperlink" Target="https://at.trenkwalder.com/standorte/salzburg" TargetMode="External"/><Relationship Id="rId15" Type="http://schemas.openxmlformats.org/officeDocument/2006/relationships/hyperlink" Target="https://www.tti.at/" TargetMode="External"/><Relationship Id="rId16" Type="http://schemas.openxmlformats.org/officeDocument/2006/relationships/hyperlink" Target="https://www.manpower.at/jobs/it-administrator/salzburg" TargetMode="External"/><Relationship Id="rId17" Type="http://schemas.openxmlformats.org/officeDocument/2006/relationships/hyperlink" Target="https://globe.at/en/company/standorte/personalvermittlung-und-personalberatung-salzburg/" TargetMode="External"/><Relationship Id="rId18" Type="http://schemas.openxmlformats.org/officeDocument/2006/relationships/hyperlink" Target="https://www.hays.at/personaldienstleister/fachgebiet-information-technology" TargetMode="External"/><Relationship Id="rId19" Type="http://schemas.openxmlformats.org/officeDocument/2006/relationships/hyperlink" Target="https://www.michaelpage.com/" TargetMode="External"/><Relationship Id="rId20" Type="http://schemas.openxmlformats.org/officeDocument/2006/relationships/hyperlink" Target="https://www.karriere.at/f/teampool-personalberatung" TargetMode="External"/><Relationship Id="rId21" Type="http://schemas.openxmlformats.org/officeDocument/2006/relationships/hyperlink" Target="https://www.grinnberg.de/it-jobs" TargetMode="External"/><Relationship Id="rId22" Type="http://schemas.openxmlformats.org/officeDocument/2006/relationships/hyperlink" Target="https://www.pernergroup.com/de/fuer-unternehmen/personalberatung" TargetMode="External"/><Relationship Id="rId23" Type="http://schemas.openxmlformats.org/officeDocument/2006/relationships/hyperlink" Target="https://www.rkmanagement.at/leistungen-fuer-ihr-unternehmen/" TargetMode="External"/><Relationship Id="rId24"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www.karriere.at/jobs/it/salzburg" TargetMode="External"/><Relationship Id="rId2" Type="http://schemas.openxmlformats.org/officeDocument/2006/relationships/hyperlink" Target="https://karriere.sn.at/" TargetMode="External"/><Relationship Id="rId3" Type="http://schemas.openxmlformats.org/officeDocument/2006/relationships/hyperlink" Target="https://jobs.salzburg24.at/jobs/it-edv/salzburg-stadt" TargetMode="External"/><Relationship Id="rId4" Type="http://schemas.openxmlformats.org/officeDocument/2006/relationships/hyperlink" Target="https://www.salzburgerjobs.at/" TargetMode="External"/><Relationship Id="rId5" Type="http://schemas.openxmlformats.org/officeDocument/2006/relationships/hyperlink" Target="https://www.stepstone.at/jobs/english-speaking/in-salzburg" TargetMode="External"/><Relationship Id="rId6" Type="http://schemas.openxmlformats.org/officeDocument/2006/relationships/hyperlink" Target="https://jobinsalzburg.com/" TargetMode="External"/><Relationship Id="rId7" Type="http://schemas.openxmlformats.org/officeDocument/2006/relationships/hyperlink" Target="https://englishjobsearch.at/in/salzburg-stadt" TargetMode="External"/><Relationship Id="rId8" Type="http://schemas.openxmlformats.org/officeDocument/2006/relationships/hyperlink" Target="https://www.glassdoor.com/Job/salzburg-english-jobs-SRCH_IL.0,8_IC3080206_KO9,16.htm" TargetMode="External"/><Relationship Id="rId9" Type="http://schemas.openxmlformats.org/officeDocument/2006/relationships/hyperlink" Target="https://www.linkedin.com/jobs/" TargetMode="External"/><Relationship Id="rId10" Type="http://schemas.openxmlformats.org/officeDocument/2006/relationships/hyperlink" Target="https://jobs.ams.at/" TargetMode="External"/><Relationship Id="rId11" Type="http://schemas.openxmlformats.org/officeDocument/2006/relationships/hyperlink" Target="https://devjobs.at/" TargetMode="External"/><Relationship Id="rId12" Type="http://schemas.openxmlformats.org/officeDocument/2006/relationships/hyperlink" Target="https://hokify.at/"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www.palfinger.com/en-mx/career/jobs/infrastructure-operations-manager-m/f/d_k_876428" TargetMode="External"/><Relationship Id="rId2" Type="http://schemas.openxmlformats.org/officeDocument/2006/relationships/hyperlink" Target="https://www.wuestenrot.at/de/ueber-uns/karriere/offene-stellen/information-security-manager-in-m-w-d.html" TargetMode="External"/><Relationship Id="rId3" Type="http://schemas.openxmlformats.org/officeDocument/2006/relationships/hyperlink" Target="https://job-boards.greenhouse.io/insightassurance/jobs/5032616008" TargetMode="External"/><Relationship Id="rId4" Type="http://schemas.openxmlformats.org/officeDocument/2006/relationships/hyperlink" Target="https://www.palfinger.com/en-us/career/jobs/it-project-manager-w/m/d_k_1736785" TargetMode="External"/><Relationship Id="rId5" Type="http://schemas.openxmlformats.org/officeDocument/2006/relationships/hyperlink" Target="https://jobs.smartrecruiters.com/RedBull/744000131403389-service-manager-server-cloud-security" TargetMode="External"/><Relationship Id="rId6" Type="http://schemas.openxmlformats.org/officeDocument/2006/relationships/hyperlink" Target="https://www.wuestenrot.at/de/ueber-uns/karriere/offene-stellen/experte-in-information-security-m-w-d.html" TargetMode="External"/><Relationship Id="rId7" Type="http://schemas.openxmlformats.org/officeDocument/2006/relationships/hyperlink" Target="https://job-boards.greenhouse.io/insightassurance/jobs/5032737008" TargetMode="External"/><Relationship Id="rId8" Type="http://schemas.openxmlformats.org/officeDocument/2006/relationships/hyperlink" Target="https://www.it-career.at/68428/0/Information-Security-Consultant-(w-m-d)" TargetMode="External"/><Relationship Id="rId9" Type="http://schemas.openxmlformats.org/officeDocument/2006/relationships/hyperlink" Target="https://www.karriere.at/jobs/7829969" TargetMode="External"/><Relationship Id="rId10" Type="http://schemas.openxmlformats.org/officeDocument/2006/relationships/hyperlink" Target="https://www.karriere.at/jobs/senoplast" TargetMode="External"/><Relationship Id="rId11" Type="http://schemas.openxmlformats.org/officeDocument/2006/relationships/hyperlink" Target="https://www.karriere.at/jobs/10024962" TargetMode="External"/><Relationship Id="rId12" Type="http://schemas.openxmlformats.org/officeDocument/2006/relationships/hyperlink" Target="https://www.techsearch.at/jobs/269996-SPTS/it-team-leiter-w-m-d" TargetMode="External"/><Relationship Id="rId13" Type="http://schemas.openxmlformats.org/officeDocument/2006/relationships/hyperlink" Target="https://www.karriere.at/jobs/7762442" TargetMode="External"/><Relationship Id="rId14" Type="http://schemas.openxmlformats.org/officeDocument/2006/relationships/hyperlink" Target="https://www.linkedin.com/jobs/view/4461705351" TargetMode="External"/><Relationship Id="rId15" Type="http://schemas.openxmlformats.org/officeDocument/2006/relationships/hyperlink" Target="https://www.skidata.com/jobs/career/global-service-performance-manager-49574-en_us" TargetMode="External"/><Relationship Id="rId16" Type="http://schemas.openxmlformats.org/officeDocument/2006/relationships/hyperlink" Target="https://jobs.redbull.com/at-de/elsbethen-service-manager-security-incident-management--ref28783m?lang=en" TargetMode="External"/><Relationship Id="rId17" Type="http://schemas.openxmlformats.org/officeDocument/2006/relationships/hyperlink" Target="https://jobs.smartrecruiters.com/RedBull/744000132364914-infrastructure-architect" TargetMode="External"/><Relationship Id="rId18" Type="http://schemas.openxmlformats.org/officeDocument/2006/relationships/hyperlink" Target="https://hai.jobs/professionals/category/it/4cf6fa25-934c-58f4-a639-8b41841f3043" TargetMode="External"/><Relationship Id="rId19" Type="http://schemas.openxmlformats.org/officeDocument/2006/relationships/hyperlink" Target="https://jobs-at.ktm.com/Job/4319/Head-of-IT-Infrastructure--Operations" TargetMode="External"/><Relationship Id="rId20" Type="http://schemas.openxmlformats.org/officeDocument/2006/relationships/hyperlink" Target="https://www.karriere.at/jobs/7852769" TargetMode="External"/><Relationship Id="rId21" Type="http://schemas.openxmlformats.org/officeDocument/2006/relationships/hyperlink" Target="https://www.conova.com/karriere/" TargetMode="External"/><Relationship Id="rId22" Type="http://schemas.openxmlformats.org/officeDocument/2006/relationships/hyperlink" Target="https://x-tention.com/de-AT/job/senior-cyber-security-consultant-project-manager-mwd" TargetMode="External"/><Relationship Id="rId23" Type="http://schemas.openxmlformats.org/officeDocument/2006/relationships/hyperlink" Target="https://www.karriere.at/jobs/10033472" TargetMode="External"/><Relationship Id="rId24" Type="http://schemas.openxmlformats.org/officeDocument/2006/relationships/hyperlink" Target="https://www.skidata.com/jobs/career/it-system-engineer-mwd-40865-en_us" TargetMode="External"/><Relationship Id="rId25" Type="http://schemas.openxmlformats.org/officeDocument/2006/relationships/hyperlink" Target="https://www.karriere.at/jobs/7818677" TargetMode="External"/><Relationship Id="rId26" Type="http://schemas.openxmlformats.org/officeDocument/2006/relationships/hyperlink" Target="https://job-boards.greenhouse.io/insightassurance/jobs/4887871008" TargetMode="External"/><Relationship Id="rId27" Type="http://schemas.openxmlformats.org/officeDocument/2006/relationships/hyperlink" Target="https://bewerbung.kpmg.at/stellenausschreiben/56" TargetMode="External"/><Relationship Id="rId28" Type="http://schemas.openxmlformats.org/officeDocument/2006/relationships/hyperlink" Target="https://www.karriere.at/jobs/7879333" TargetMode="External"/><Relationship Id="rId29" Type="http://schemas.openxmlformats.org/officeDocument/2006/relationships/hyperlink" Target="https://careers.lamresearch.com/job/Salzburg-IT-Support-Systems-Administrator-(all-genders)/1198235600/" TargetMode="External"/><Relationship Id="rId30" Type="http://schemas.openxmlformats.org/officeDocument/2006/relationships/hyperlink" Target="https://www.bmwgroup.jobs/en/jobfinder/job-description-copy.129634.html" TargetMode="External"/><Relationship Id="rId31" Type="http://schemas.openxmlformats.org/officeDocument/2006/relationships/hyperlink" Target="https://www.palfinger.com/us/en/career/jobs/teamlead-application-management-operations--m-f-d-_6863.html" TargetMode="External"/><Relationship Id="rId32" Type="http://schemas.openxmlformats.org/officeDocument/2006/relationships/hyperlink" Target="https://www.karriere.at/f/gointerim" TargetMode="External"/><Relationship Id="rId33" Type="http://schemas.openxmlformats.org/officeDocument/2006/relationships/hyperlink" Target="https://www.grinnberg.de/it-job/job-inhouse-senior-netzwerkadministrator-w-m-x-im-raum-salzburg-id21081" TargetMode="External"/><Relationship Id="rId34" Type="http://schemas.openxmlformats.org/officeDocument/2006/relationships/hyperlink" Target="https://karriere.salzburg-ag.at/Firewall-Network-Security-Engineer-all-genders-de-j2688.html" TargetMode="External"/><Relationship Id="rId35" Type="http://schemas.openxmlformats.org/officeDocument/2006/relationships/hyperlink" Target="https://www.karriere.at/jobs/7839275" TargetMode="External"/><Relationship Id="rId36" Type="http://schemas.openxmlformats.org/officeDocument/2006/relationships/hyperlink" Target="https://solbytech.at/unternehmen/jobs/" TargetMode="External"/><Relationship Id="rId37" Type="http://schemas.openxmlformats.org/officeDocument/2006/relationships/hyperlink" Target="https://www.spar-ics.com/de/career/offene-stellen-consulting" TargetMode="External"/><Relationship Id="rId38" Type="http://schemas.openxmlformats.org/officeDocument/2006/relationships/hyperlink" Target="https://www.karriere.at/jobs/7868473" TargetMode="External"/><Relationship Id="rId39" Type="http://schemas.openxmlformats.org/officeDocument/2006/relationships/hyperlink" Target="https://www.dorida.at/karriere/" TargetMode="External"/><Relationship Id="rId40" Type="http://schemas.openxmlformats.org/officeDocument/2006/relationships/hyperlink" Target="https://www.spaengler.at/bankhaus/karriere/senior-it-technikerin-74/" TargetMode="External"/><Relationship Id="rId41" Type="http://schemas.openxmlformats.org/officeDocument/2006/relationships/hyperlink" Target="https://bewerbung.acp-gruppe.com/at/rx/906" TargetMode="External"/><Relationship Id="rId42" Type="http://schemas.openxmlformats.org/officeDocument/2006/relationships/hyperlink" Target="https://bewerbung.acp-gruppe.com/at/rx/906" TargetMode="External"/><Relationship Id="rId43" Type="http://schemas.openxmlformats.org/officeDocument/2006/relationships/hyperlink" Target="https://www.evgroup.com/de/karriere/jobs/it-administrator-mwx-fuer-domain-und-groupware-services-1" TargetMode="External"/><Relationship Id="rId44" Type="http://schemas.openxmlformats.org/officeDocument/2006/relationships/hyperlink" Target="https://www.nts.eu/de/job/senior-systems-engineer-network-m-w-d/" TargetMode="External"/><Relationship Id="rId45" Type="http://schemas.openxmlformats.org/officeDocument/2006/relationships/hyperlink" Target="https://www.karriere.at/jobs/7863661" TargetMode="External"/><Relationship Id="rId46" Type="http://schemas.openxmlformats.org/officeDocument/2006/relationships/hyperlink" Target="https://www.grinnberg.de/it-job/job-it-job-als-systemadministrator-im-raum-salzburg-m-w-d-it-administrator-m-w-d-id21067" TargetMode="External"/><Relationship Id="rId47" Type="http://schemas.openxmlformats.org/officeDocument/2006/relationships/hyperlink" Target="https://www.sanitas.at/karriere/it-systemspezialistenin-fuer-klinische-informationssysteme-mwd" TargetMode="External"/><Relationship Id="rId48" Type="http://schemas.openxmlformats.org/officeDocument/2006/relationships/hyperlink" Target="https://www.karriere.at/jobs/10033575" TargetMode="External"/><Relationship Id="rId49" Type="http://schemas.openxmlformats.org/officeDocument/2006/relationships/hyperlink" Target="https://bewerbung.acp-gruppe.com/at/rx/887" TargetMode="External"/><Relationship Id="rId50" Type="http://schemas.openxmlformats.org/officeDocument/2006/relationships/hyperlink" Target="https://www.karriere.at/jobs/7860364" TargetMode="External"/><Relationship Id="rId51" Type="http://schemas.openxmlformats.org/officeDocument/2006/relationships/hyperlink" Target="https://www.ottogroup.com/en/careers/job/03573527/information-security-specialist-m-w-d-" TargetMode="External"/><Relationship Id="rId52" Type="http://schemas.openxmlformats.org/officeDocument/2006/relationships/hyperlink" Target="https://jobs.cancom.com/" TargetMode="External"/><Relationship Id="rId53" Type="http://schemas.openxmlformats.org/officeDocument/2006/relationships/hyperlink" Target="https://www.karriere.at/jobs/7873291" TargetMode="External"/><Relationship Id="rId54" Type="http://schemas.openxmlformats.org/officeDocument/2006/relationships/hyperlink" Target="https://messezentrum-salzburg-gmbh.jobs.personio.de/?language=de" TargetMode="External"/><Relationship Id="rId55" Type="http://schemas.openxmlformats.org/officeDocument/2006/relationships/hyperlink" Target="https://www.karriere.at/jobs/10032419" TargetMode="External"/><Relationship Id="rId56" Type="http://schemas.openxmlformats.org/officeDocument/2006/relationships/hyperlink" Target="https://jobs.cancom.com/System-Engineer-NetworkSecurity-wm-Junior-oder-Professiona-de-j69.html" TargetMode="External"/><Relationship Id="rId57" Type="http://schemas.openxmlformats.org/officeDocument/2006/relationships/hyperlink" Target="https://www.kern-partner.at/jobs/job/214500.html" TargetMode="External"/><Relationship Id="rId58"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hyperlink" Target="https://www.linkedin.com/jobs/view/4437084635" TargetMode="External"/><Relationship Id="rId2" Type="http://schemas.openxmlformats.org/officeDocument/2006/relationships/hyperlink" Target="https://www.karriere.at/jobs/7874020" TargetMode="External"/><Relationship Id="rId3" Type="http://schemas.openxmlformats.org/officeDocument/2006/relationships/hyperlink" Target="https://www.karriere.at/jobs/7875784" TargetMode="External"/><Relationship Id="rId4" Type="http://schemas.openxmlformats.org/officeDocument/2006/relationships/hyperlink" Target="https://www.karriere.at/jobs/7822022" TargetMode="External"/><Relationship Id="rId5" Type="http://schemas.openxmlformats.org/officeDocument/2006/relationships/hyperlink" Target="https://www.linkedin.com/jobs/view/4466325016" TargetMode="External"/><Relationship Id="rId6" Type="http://schemas.openxmlformats.org/officeDocument/2006/relationships/hyperlink" Target="https://www.linkedin.com/jobs/view/4444703590" TargetMode="External"/><Relationship Id="rId7" Type="http://schemas.openxmlformats.org/officeDocument/2006/relationships/hyperlink" Target="https://www.karriere.at/jobs/10029755" TargetMode="External"/><Relationship Id="rId8" Type="http://schemas.openxmlformats.org/officeDocument/2006/relationships/hyperlink" Target="https://www.karriere.at/jobs/7856702" TargetMode="External"/><Relationship Id="rId9" Type="http://schemas.openxmlformats.org/officeDocument/2006/relationships/hyperlink" Target="https://www.karriere.at/jobs/7860949" TargetMode="External"/><Relationship Id="rId10" Type="http://schemas.openxmlformats.org/officeDocument/2006/relationships/hyperlink" Target="https://www.karriere.at/jobs/7880563" TargetMode="External"/><Relationship Id="rId11" Type="http://schemas.openxmlformats.org/officeDocument/2006/relationships/hyperlink" Target="https://www.karriere.at/jobs/7876831" TargetMode="External"/><Relationship Id="rId12" Type="http://schemas.openxmlformats.org/officeDocument/2006/relationships/hyperlink" Target="https://www.linkedin.com/jobs/view/4455855392" TargetMode="External"/><Relationship Id="rId13" Type="http://schemas.openxmlformats.org/officeDocument/2006/relationships/hyperlink" Target="https://www.linkedin.com/jobs/view/4450088259" TargetMode="External"/><Relationship Id="rId14" Type="http://schemas.openxmlformats.org/officeDocument/2006/relationships/hyperlink" Target="https://www.karriere.at/jobs/10031230" TargetMode="External"/><Relationship Id="rId15" Type="http://schemas.openxmlformats.org/officeDocument/2006/relationships/hyperlink" Target="https://www.karriere.at/jobs/7869433" TargetMode="External"/><Relationship Id="rId16" Type="http://schemas.openxmlformats.org/officeDocument/2006/relationships/hyperlink" Target="https://www.karriere.at/jobs/7869436" TargetMode="External"/><Relationship Id="rId17" Type="http://schemas.openxmlformats.org/officeDocument/2006/relationships/hyperlink" Target="https://www.karriere.at/jobs/7878877" TargetMode="External"/><Relationship Id="rId18" Type="http://schemas.openxmlformats.org/officeDocument/2006/relationships/hyperlink" Target="https://www.karriere.at/jobs/10030341" TargetMode="External"/><Relationship Id="rId19" Type="http://schemas.openxmlformats.org/officeDocument/2006/relationships/hyperlink" Target="https://www.linkedin.com/jobs/view/4465125774" TargetMode="External"/><Relationship Id="rId20" Type="http://schemas.openxmlformats.org/officeDocument/2006/relationships/hyperlink" Target="https://www.karriere.at/jobs/7872928" TargetMode="External"/><Relationship Id="rId21" Type="http://schemas.openxmlformats.org/officeDocument/2006/relationships/hyperlink" Target="https://www.karriere.at/jobs/7872931" TargetMode="External"/><Relationship Id="rId22" Type="http://schemas.openxmlformats.org/officeDocument/2006/relationships/hyperlink" Target="https://www.karriere.at/jobs/7872925" TargetMode="External"/><Relationship Id="rId23" Type="http://schemas.openxmlformats.org/officeDocument/2006/relationships/hyperlink" Target="https://www.linkedin.com/jobs/view/4463472437" TargetMode="External"/><Relationship Id="rId24" Type="http://schemas.openxmlformats.org/officeDocument/2006/relationships/hyperlink" Target="https://www.karriere.at/jobs/10031055" TargetMode="External"/><Relationship Id="rId25" Type="http://schemas.openxmlformats.org/officeDocument/2006/relationships/hyperlink" Target="https://www.karriere.at/jobs/10029112" TargetMode="External"/><Relationship Id="rId26" Type="http://schemas.openxmlformats.org/officeDocument/2006/relationships/hyperlink" Target="https://www.karriere.at/jobs/7821854" TargetMode="External"/><Relationship Id="rId27" Type="http://schemas.openxmlformats.org/officeDocument/2006/relationships/hyperlink" Target="https://www.karriere.at/jobs/7875937" TargetMode="External"/><Relationship Id="rId28" Type="http://schemas.openxmlformats.org/officeDocument/2006/relationships/hyperlink" Target="https://www.linkedin.com/jobs/view/4461166223" TargetMode="External"/><Relationship Id="rId29" Type="http://schemas.openxmlformats.org/officeDocument/2006/relationships/hyperlink" Target="https://www.karriere.at/jobs/7873969" TargetMode="External"/><Relationship Id="rId30" Type="http://schemas.openxmlformats.org/officeDocument/2006/relationships/hyperlink" Target="https://www.linkedin.com/jobs/view/4089986109" TargetMode="External"/><Relationship Id="rId31" Type="http://schemas.openxmlformats.org/officeDocument/2006/relationships/hyperlink" Target="https://www.linkedin.com/jobs/view/4462836961" TargetMode="External"/><Relationship Id="rId32" Type="http://schemas.openxmlformats.org/officeDocument/2006/relationships/hyperlink" Target="https://www.karriere.at/jobs/7868944" TargetMode="External"/><Relationship Id="rId33" Type="http://schemas.openxmlformats.org/officeDocument/2006/relationships/hyperlink" Target="https://www.karriere.at/jobs/7857248" TargetMode="External"/><Relationship Id="rId34" Type="http://schemas.openxmlformats.org/officeDocument/2006/relationships/hyperlink" Target="https://www.linkedin.com/jobs/view/4428102319" TargetMode="External"/><Relationship Id="rId35" Type="http://schemas.openxmlformats.org/officeDocument/2006/relationships/hyperlink" Target="https://www.karriere.at/jobs/7879915" TargetMode="External"/><Relationship Id="rId36" Type="http://schemas.openxmlformats.org/officeDocument/2006/relationships/hyperlink" Target="https://www.karriere.at/jobs/7855409" TargetMode="External"/><Relationship Id="rId37" Type="http://schemas.openxmlformats.org/officeDocument/2006/relationships/hyperlink" Target="https://www.karriere.at/jobs/7878637" TargetMode="External"/><Relationship Id="rId38" Type="http://schemas.openxmlformats.org/officeDocument/2006/relationships/hyperlink" Target="https://www.linkedin.com/jobs/view/4470922970" TargetMode="External"/><Relationship Id="rId39" Type="http://schemas.openxmlformats.org/officeDocument/2006/relationships/hyperlink" Target="https://www.linkedin.com/jobs/view/4461598939" TargetMode="External"/><Relationship Id="rId40" Type="http://schemas.openxmlformats.org/officeDocument/2006/relationships/hyperlink" Target="https://www.linkedin.com/jobs/view/4470900390" TargetMode="External"/><Relationship Id="rId41" Type="http://schemas.openxmlformats.org/officeDocument/2006/relationships/hyperlink" Target="https://www.linkedin.com/jobs/view/4438324503" TargetMode="External"/><Relationship Id="rId42" Type="http://schemas.openxmlformats.org/officeDocument/2006/relationships/hyperlink" Target="https://www.linkedin.com/jobs/view/4466848309" TargetMode="External"/><Relationship Id="rId43" Type="http://schemas.openxmlformats.org/officeDocument/2006/relationships/hyperlink" Target="https://www.linkedin.com/jobs/view/4458642524" TargetMode="External"/><Relationship Id="rId44" Type="http://schemas.openxmlformats.org/officeDocument/2006/relationships/hyperlink" Target="https://www.linkedin.com/jobs/view/4466851271" TargetMode="External"/><Relationship Id="rId45" Type="http://schemas.openxmlformats.org/officeDocument/2006/relationships/hyperlink" Target="https://www.linkedin.com/jobs/view/4468681036" TargetMode="External"/><Relationship Id="rId46" Type="http://schemas.openxmlformats.org/officeDocument/2006/relationships/hyperlink" Target="https://www.karriere.at/jobs/10028647" TargetMode="External"/><Relationship Id="rId47" Type="http://schemas.openxmlformats.org/officeDocument/2006/relationships/hyperlink" Target="https://www.karriere.at/jobs/10028648" TargetMode="External"/><Relationship Id="rId48" Type="http://schemas.openxmlformats.org/officeDocument/2006/relationships/hyperlink" Target="https://www.karriere.at/jobs/10028646" TargetMode="External"/><Relationship Id="rId49" Type="http://schemas.openxmlformats.org/officeDocument/2006/relationships/hyperlink" Target="https://www.karriere.at/jobs/10032745" TargetMode="External"/><Relationship Id="rId50" Type="http://schemas.openxmlformats.org/officeDocument/2006/relationships/hyperlink" Target="https://www.linkedin.com/jobs/view/4464105063" TargetMode="External"/><Relationship Id="rId51" Type="http://schemas.openxmlformats.org/officeDocument/2006/relationships/hyperlink" Target="https://www.karriere.at/jobs/7873933" TargetMode="External"/><Relationship Id="rId52" Type="http://schemas.openxmlformats.org/officeDocument/2006/relationships/hyperlink" Target="https://www.karriere.at/jobs/7853966" TargetMode="External"/><Relationship Id="rId53" Type="http://schemas.openxmlformats.org/officeDocument/2006/relationships/hyperlink" Target="https://www.karriere.at/jobs/7854044" TargetMode="External"/><Relationship Id="rId54" Type="http://schemas.openxmlformats.org/officeDocument/2006/relationships/hyperlink" Target="https://www.karriere.at/jobs/7853978" TargetMode="External"/><Relationship Id="rId55" Type="http://schemas.openxmlformats.org/officeDocument/2006/relationships/hyperlink" Target="https://www.linkedin.com/jobs/view/4456934056" TargetMode="External"/><Relationship Id="rId56" Type="http://schemas.openxmlformats.org/officeDocument/2006/relationships/hyperlink" Target="https://www.karriere.at/jobs/7857041" TargetMode="External"/><Relationship Id="rId57" Type="http://schemas.openxmlformats.org/officeDocument/2006/relationships/hyperlink" Target="https://www.linkedin.com/jobs/view/4405982009" TargetMode="External"/><Relationship Id="rId58" Type="http://schemas.openxmlformats.org/officeDocument/2006/relationships/hyperlink" Target="https://www.linkedin.com/jobs/view/4405971076" TargetMode="External"/><Relationship Id="rId59" Type="http://schemas.openxmlformats.org/officeDocument/2006/relationships/hyperlink" Target="https://www.karriere.at/jobs/7871008" TargetMode="External"/><Relationship Id="rId60" Type="http://schemas.openxmlformats.org/officeDocument/2006/relationships/hyperlink" Target="https://www.karriere.at/jobs/7869586" TargetMode="External"/><Relationship Id="rId61" Type="http://schemas.openxmlformats.org/officeDocument/2006/relationships/hyperlink" Target="https://www.karriere.at/jobs/7865329" TargetMode="External"/><Relationship Id="rId62" Type="http://schemas.openxmlformats.org/officeDocument/2006/relationships/hyperlink" Target="https://www.linkedin.com/jobs/view/4448955908" TargetMode="External"/><Relationship Id="rId63" Type="http://schemas.openxmlformats.org/officeDocument/2006/relationships/hyperlink" Target="https://www.linkedin.com/jobs/view/4471604803" TargetMode="External"/><Relationship Id="rId64" Type="http://schemas.openxmlformats.org/officeDocument/2006/relationships/hyperlink" Target="https://www.linkedin.com/jobs/view/4445986761" TargetMode="External"/><Relationship Id="rId65" Type="http://schemas.openxmlformats.org/officeDocument/2006/relationships/hyperlink" Target="https://www.linkedin.com/jobs/view/4468680535" TargetMode="External"/><Relationship Id="rId66" Type="http://schemas.openxmlformats.org/officeDocument/2006/relationships/hyperlink" Target="https://www.karriere.at/jobs/7874794" TargetMode="External"/><Relationship Id="rId67" Type="http://schemas.openxmlformats.org/officeDocument/2006/relationships/hyperlink" Target="https://www.karriere.at/jobs/7813721" TargetMode="External"/><Relationship Id="rId68" Type="http://schemas.openxmlformats.org/officeDocument/2006/relationships/hyperlink" Target="https://www.karriere.at/jobs/7804451" TargetMode="External"/><Relationship Id="rId69" Type="http://schemas.openxmlformats.org/officeDocument/2006/relationships/hyperlink" Target="https://www.karriere.at/jobs/7876204" TargetMode="External"/><Relationship Id="rId70" Type="http://schemas.openxmlformats.org/officeDocument/2006/relationships/hyperlink" Target="https://www.karriere.at/jobs/7850174" TargetMode="External"/><Relationship Id="rId71" Type="http://schemas.openxmlformats.org/officeDocument/2006/relationships/hyperlink" Target="https://www.karriere.at/jobs/7837415" TargetMode="External"/><Relationship Id="rId72" Type="http://schemas.openxmlformats.org/officeDocument/2006/relationships/hyperlink" Target="https://www.linkedin.com/jobs/view/4420916639" TargetMode="External"/><Relationship Id="rId73" Type="http://schemas.openxmlformats.org/officeDocument/2006/relationships/hyperlink" Target="https://www.karriere.at/jobs/7858523" TargetMode="External"/><Relationship Id="rId74" Type="http://schemas.openxmlformats.org/officeDocument/2006/relationships/hyperlink" Target="https://www.karriere.at/jobs/7862350" TargetMode="External"/><Relationship Id="rId75" Type="http://schemas.openxmlformats.org/officeDocument/2006/relationships/hyperlink" Target="https://www.karriere.at/jobs/7863679" TargetMode="External"/><Relationship Id="rId76" Type="http://schemas.openxmlformats.org/officeDocument/2006/relationships/hyperlink" Target="https://www.linkedin.com/jobs/view/4454701840" TargetMode="External"/><Relationship Id="rId77" Type="http://schemas.openxmlformats.org/officeDocument/2006/relationships/hyperlink" Target="https://www.karriere.at/jobs/7873108" TargetMode="External"/><Relationship Id="rId78" Type="http://schemas.openxmlformats.org/officeDocument/2006/relationships/hyperlink" Target="https://www.karriere.at/jobs/7860679" TargetMode="External"/><Relationship Id="rId79" Type="http://schemas.openxmlformats.org/officeDocument/2006/relationships/hyperlink" Target="https://www.karriere.at/jobs/7879144" TargetMode="External"/><Relationship Id="rId80" Type="http://schemas.openxmlformats.org/officeDocument/2006/relationships/hyperlink" Target="https://www.karriere.at/jobs/7879126" TargetMode="External"/><Relationship Id="rId81" Type="http://schemas.openxmlformats.org/officeDocument/2006/relationships/hyperlink" Target="https://www.linkedin.com/jobs/view/4454790732" TargetMode="External"/><Relationship Id="rId82" Type="http://schemas.openxmlformats.org/officeDocument/2006/relationships/hyperlink" Target="https://www.karriere.at/jobs/7805750" TargetMode="External"/><Relationship Id="rId83" Type="http://schemas.openxmlformats.org/officeDocument/2006/relationships/hyperlink" Target="https://www.linkedin.com/jobs/view/4461151517" TargetMode="External"/><Relationship Id="rId84" Type="http://schemas.openxmlformats.org/officeDocument/2006/relationships/hyperlink" Target="https://www.linkedin.com/jobs/view/4460928679" TargetMode="External"/><Relationship Id="rId85" Type="http://schemas.openxmlformats.org/officeDocument/2006/relationships/hyperlink" Target="https://www.linkedin.com/jobs/view/4441192157" TargetMode="External"/><Relationship Id="rId86" Type="http://schemas.openxmlformats.org/officeDocument/2006/relationships/hyperlink" Target="https://www.karriere.at/jobs/10033802" TargetMode="External"/><Relationship Id="rId87" Type="http://schemas.openxmlformats.org/officeDocument/2006/relationships/hyperlink" Target="https://www.linkedin.com/jobs/view/4469451479" TargetMode="External"/><Relationship Id="rId88" Type="http://schemas.openxmlformats.org/officeDocument/2006/relationships/hyperlink" Target="https://www.karriere.at/jobs/7839035" TargetMode="External"/><Relationship Id="rId89" Type="http://schemas.openxmlformats.org/officeDocument/2006/relationships/hyperlink" Target="https://www.karriere.at/jobs/10029867" TargetMode="External"/><Relationship Id="rId90" Type="http://schemas.openxmlformats.org/officeDocument/2006/relationships/hyperlink" Target="https://www.linkedin.com/jobs/view/4458175262" TargetMode="External"/><Relationship Id="rId91" Type="http://schemas.openxmlformats.org/officeDocument/2006/relationships/hyperlink" Target="https://www.linkedin.com/jobs/view/4463521689" TargetMode="External"/><Relationship Id="rId92" Type="http://schemas.openxmlformats.org/officeDocument/2006/relationships/hyperlink" Target="https://www.karriere.at/jobs/7867936" TargetMode="External"/><Relationship Id="rId93" Type="http://schemas.openxmlformats.org/officeDocument/2006/relationships/hyperlink" Target="https://www.karriere.at/jobs/10029255" TargetMode="External"/><Relationship Id="rId94" Type="http://schemas.openxmlformats.org/officeDocument/2006/relationships/hyperlink" Target="https://www.linkedin.com/jobs/view/4469576595" TargetMode="External"/><Relationship Id="rId95" Type="http://schemas.openxmlformats.org/officeDocument/2006/relationships/hyperlink" Target="https://www.karriere.at/jobs/7803704" TargetMode="External"/><Relationship Id="rId96" Type="http://schemas.openxmlformats.org/officeDocument/2006/relationships/hyperlink" Target="https://www.karriere.at/jobs/10031916" TargetMode="External"/><Relationship Id="rId97" Type="http://schemas.openxmlformats.org/officeDocument/2006/relationships/hyperlink" Target="https://www.karriere.at/jobs/7847963" TargetMode="External"/><Relationship Id="rId98" Type="http://schemas.openxmlformats.org/officeDocument/2006/relationships/hyperlink" Target="https://www.karriere.at/jobs/7861810" TargetMode="External"/><Relationship Id="rId99" Type="http://schemas.openxmlformats.org/officeDocument/2006/relationships/hyperlink" Target="https://www.linkedin.com/jobs/view/4468580476" TargetMode="External"/><Relationship Id="rId100" Type="http://schemas.openxmlformats.org/officeDocument/2006/relationships/hyperlink" Target="https://www.linkedin.com/jobs/view/4465991468" TargetMode="External"/><Relationship Id="rId101" Type="http://schemas.openxmlformats.org/officeDocument/2006/relationships/hyperlink" Target="https://www.karriere.at/jobs/7865578" TargetMode="External"/><Relationship Id="rId102" Type="http://schemas.openxmlformats.org/officeDocument/2006/relationships/hyperlink" Target="https://www.karriere.at/jobs/7814600" TargetMode="External"/><Relationship Id="rId103" Type="http://schemas.openxmlformats.org/officeDocument/2006/relationships/hyperlink" Target="https://www.linkedin.com/jobs/view/4469723366" TargetMode="External"/><Relationship Id="rId104" Type="http://schemas.openxmlformats.org/officeDocument/2006/relationships/hyperlink" Target="https://www.karriere.at/jobs/7865083" TargetMode="External"/><Relationship Id="rId105" Type="http://schemas.openxmlformats.org/officeDocument/2006/relationships/hyperlink" Target="https://www.karriere.at/jobs/10030426" TargetMode="External"/><Relationship Id="rId106" Type="http://schemas.openxmlformats.org/officeDocument/2006/relationships/hyperlink" Target="https://www.linkedin.com/jobs/view/4466969904" TargetMode="External"/><Relationship Id="rId107" Type="http://schemas.openxmlformats.org/officeDocument/2006/relationships/hyperlink" Target="https://www.linkedin.com/jobs/view/4470236928" TargetMode="External"/><Relationship Id="rId108" Type="http://schemas.openxmlformats.org/officeDocument/2006/relationships/hyperlink" Target="https://www.linkedin.com/jobs/view/4472436631" TargetMode="External"/><Relationship Id="rId109" Type="http://schemas.openxmlformats.org/officeDocument/2006/relationships/hyperlink" Target="https://www.linkedin.com/jobs/view/4469452005" TargetMode="External"/><Relationship Id="rId110" Type="http://schemas.openxmlformats.org/officeDocument/2006/relationships/hyperlink" Target="https://www.linkedin.com/jobs/view/4445097403" TargetMode="External"/><Relationship Id="rId111" Type="http://schemas.openxmlformats.org/officeDocument/2006/relationships/hyperlink" Target="https://www.linkedin.com/jobs/view/4465779160" TargetMode="External"/><Relationship Id="rId112" Type="http://schemas.openxmlformats.org/officeDocument/2006/relationships/hyperlink" Target="https://www.linkedin.com/jobs/view/4465765278" TargetMode="External"/><Relationship Id="rId113" Type="http://schemas.openxmlformats.org/officeDocument/2006/relationships/hyperlink" Target="https://www.karriere.at/jobs/7879723" TargetMode="External"/><Relationship Id="rId114" Type="http://schemas.openxmlformats.org/officeDocument/2006/relationships/hyperlink" Target="https://www.linkedin.com/jobs/view/4468966945" TargetMode="External"/><Relationship Id="rId11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8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6"/>
    <col collapsed="false" customWidth="true" hidden="false" outlineLevel="0" max="4" min="4" style="0" width="44"/>
    <col collapsed="false" customWidth="true" hidden="false" outlineLevel="0" max="5" min="5" style="0" width="22"/>
    <col collapsed="false" customWidth="true" hidden="false" outlineLevel="0" max="6" min="6" style="0" width="14"/>
    <col collapsed="false" customWidth="true" hidden="false" outlineLevel="0" max="7" min="7" style="0" width="12"/>
    <col collapsed="false" customWidth="true" hidden="false" outlineLevel="0" max="8" min="8" style="0" width="22"/>
    <col collapsed="false" customWidth="true" hidden="false" outlineLevel="0" max="9" min="9" style="0" width="18"/>
  </cols>
  <sheetData>
    <row r="1" customFormat="false" ht="19.7"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27.75" hidden="false" customHeight="true" outlineLevel="0" collapsed="false">
      <c r="B5" s="4" t="s">
        <v>3</v>
      </c>
      <c r="C5" s="5" t="s">
        <v>4</v>
      </c>
      <c r="D5" s="5"/>
      <c r="E5" s="5"/>
      <c r="F5" s="5"/>
      <c r="G5" s="5"/>
      <c r="H5" s="5"/>
      <c r="I5" s="5"/>
    </row>
    <row r="6" customFormat="false" ht="27.75" hidden="false" customHeight="true" outlineLevel="0" collapsed="false">
      <c r="B6" s="4" t="s">
        <v>5</v>
      </c>
      <c r="C6" s="5" t="s">
        <v>6</v>
      </c>
      <c r="D6" s="5"/>
      <c r="E6" s="5"/>
      <c r="F6" s="5"/>
      <c r="G6" s="5"/>
      <c r="H6" s="5"/>
      <c r="I6" s="5"/>
    </row>
    <row r="7" customFormat="false" ht="27.75" hidden="false" customHeight="true" outlineLevel="0" collapsed="false">
      <c r="B7" s="4" t="s">
        <v>7</v>
      </c>
      <c r="C7" s="5" t="s">
        <v>8</v>
      </c>
      <c r="D7" s="5"/>
      <c r="E7" s="5"/>
      <c r="F7" s="5"/>
      <c r="G7" s="5"/>
      <c r="H7" s="5"/>
      <c r="I7" s="5"/>
    </row>
    <row r="8" customFormat="false" ht="27.75" hidden="false" customHeight="true" outlineLevel="0" collapsed="false">
      <c r="B8" s="4" t="s">
        <v>9</v>
      </c>
      <c r="C8" s="5" t="s">
        <v>10</v>
      </c>
      <c r="D8" s="5"/>
      <c r="E8" s="5"/>
      <c r="F8" s="5"/>
      <c r="G8" s="5"/>
      <c r="H8" s="5"/>
      <c r="I8" s="5"/>
    </row>
    <row r="9" customFormat="false" ht="27.75" hidden="false" customHeight="true" outlineLevel="0" collapsed="false">
      <c r="B9" s="4" t="s">
        <v>11</v>
      </c>
      <c r="C9" s="5" t="s">
        <v>12</v>
      </c>
      <c r="D9" s="5"/>
      <c r="E9" s="5"/>
      <c r="F9" s="5"/>
      <c r="G9" s="5"/>
      <c r="H9" s="5"/>
      <c r="I9" s="5"/>
    </row>
    <row r="10" customFormat="false" ht="27.75" hidden="false" customHeight="true" outlineLevel="0" collapsed="false">
      <c r="B10" s="4" t="s">
        <v>13</v>
      </c>
      <c r="C10" s="5" t="s">
        <v>14</v>
      </c>
      <c r="D10" s="5"/>
      <c r="E10" s="5"/>
      <c r="F10" s="5"/>
      <c r="G10" s="5"/>
      <c r="H10" s="5"/>
      <c r="I10" s="5"/>
    </row>
    <row r="12" customFormat="false" ht="15" hidden="false" customHeight="false" outlineLevel="0" collapsed="false">
      <c r="B12" s="3" t="s">
        <v>15</v>
      </c>
    </row>
    <row r="13" customFormat="false" ht="15" hidden="false" customHeight="false" outlineLevel="0" collapsed="false">
      <c r="B13" s="6" t="s">
        <v>16</v>
      </c>
      <c r="C13" s="6" t="s">
        <v>17</v>
      </c>
      <c r="D13" s="6" t="s">
        <v>18</v>
      </c>
    </row>
    <row r="14" customFormat="false" ht="27.75" hidden="false" customHeight="true" outlineLevel="0" collapsed="false">
      <c r="B14" s="7" t="s">
        <v>19</v>
      </c>
      <c r="C14" s="8" t="n">
        <v>0.3</v>
      </c>
      <c r="D14" s="5" t="s">
        <v>20</v>
      </c>
      <c r="E14" s="5"/>
      <c r="F14" s="5"/>
      <c r="G14" s="5"/>
      <c r="H14" s="5"/>
      <c r="I14" s="5"/>
    </row>
    <row r="15" customFormat="false" ht="27.75" hidden="false" customHeight="true" outlineLevel="0" collapsed="false">
      <c r="B15" s="7" t="s">
        <v>21</v>
      </c>
      <c r="C15" s="8" t="n">
        <v>0.15</v>
      </c>
      <c r="D15" s="5" t="s">
        <v>22</v>
      </c>
      <c r="E15" s="5"/>
      <c r="F15" s="5"/>
      <c r="G15" s="5"/>
      <c r="H15" s="5"/>
      <c r="I15" s="5"/>
    </row>
    <row r="16" customFormat="false" ht="27.75" hidden="false" customHeight="true" outlineLevel="0" collapsed="false">
      <c r="B16" s="7" t="s">
        <v>23</v>
      </c>
      <c r="C16" s="8" t="n">
        <v>0.3</v>
      </c>
      <c r="D16" s="5" t="s">
        <v>24</v>
      </c>
      <c r="E16" s="5"/>
      <c r="F16" s="5"/>
      <c r="G16" s="5"/>
      <c r="H16" s="5"/>
      <c r="I16" s="5"/>
    </row>
    <row r="17" customFormat="false" ht="27.75" hidden="false" customHeight="true" outlineLevel="0" collapsed="false">
      <c r="B17" s="7" t="s">
        <v>25</v>
      </c>
      <c r="C17" s="8" t="n">
        <v>0.05</v>
      </c>
      <c r="D17" s="5" t="s">
        <v>26</v>
      </c>
      <c r="E17" s="5"/>
      <c r="F17" s="5"/>
      <c r="G17" s="5"/>
      <c r="H17" s="5"/>
      <c r="I17" s="5"/>
    </row>
    <row r="18" customFormat="false" ht="27.75" hidden="false" customHeight="true" outlineLevel="0" collapsed="false">
      <c r="B18" s="7" t="s">
        <v>27</v>
      </c>
      <c r="C18" s="8" t="n">
        <v>0.1</v>
      </c>
      <c r="D18" s="5" t="s">
        <v>28</v>
      </c>
      <c r="E18" s="5"/>
      <c r="F18" s="5"/>
      <c r="G18" s="5"/>
      <c r="H18" s="5"/>
      <c r="I18" s="5"/>
    </row>
    <row r="19" customFormat="false" ht="27.75" hidden="false" customHeight="true" outlineLevel="0" collapsed="false">
      <c r="B19" s="7" t="s">
        <v>29</v>
      </c>
      <c r="C19" s="8" t="n">
        <v>0.1</v>
      </c>
      <c r="D19" s="5" t="s">
        <v>30</v>
      </c>
      <c r="E19" s="5"/>
      <c r="F19" s="5"/>
      <c r="G19" s="5"/>
      <c r="H19" s="5"/>
      <c r="I19" s="5"/>
    </row>
    <row r="20" customFormat="false" ht="15" hidden="false" customHeight="false" outlineLevel="0" collapsed="false">
      <c r="B20" s="4" t="s">
        <v>31</v>
      </c>
      <c r="C20" s="9" t="n">
        <f aca="false">SUM(C14:C19)</f>
        <v>1</v>
      </c>
    </row>
    <row r="22" customFormat="false" ht="15" hidden="false" customHeight="false" outlineLevel="0" collapsed="false">
      <c r="B22" s="3" t="s">
        <v>32</v>
      </c>
    </row>
    <row r="23" customFormat="false" ht="15" hidden="false" customHeight="false" outlineLevel="0" collapsed="false">
      <c r="B23" s="6" t="s">
        <v>33</v>
      </c>
      <c r="C23" s="6" t="s">
        <v>34</v>
      </c>
      <c r="D23" s="6" t="s">
        <v>35</v>
      </c>
    </row>
    <row r="24" customFormat="false" ht="15" hidden="false" customHeight="true" outlineLevel="0" collapsed="false">
      <c r="B24" s="4" t="s">
        <v>36</v>
      </c>
      <c r="C24" s="10" t="s">
        <v>37</v>
      </c>
      <c r="D24" s="5" t="s">
        <v>38</v>
      </c>
      <c r="E24" s="5"/>
      <c r="F24" s="5"/>
      <c r="G24" s="5"/>
      <c r="H24" s="5"/>
      <c r="I24" s="5"/>
    </row>
    <row r="25" customFormat="false" ht="15" hidden="false" customHeight="true" outlineLevel="0" collapsed="false">
      <c r="B25" s="4" t="s">
        <v>39</v>
      </c>
      <c r="C25" s="10" t="s">
        <v>37</v>
      </c>
      <c r="D25" s="5" t="s">
        <v>40</v>
      </c>
      <c r="E25" s="5"/>
      <c r="F25" s="5"/>
      <c r="G25" s="5"/>
      <c r="H25" s="5"/>
      <c r="I25" s="5"/>
    </row>
    <row r="26" customFormat="false" ht="15" hidden="false" customHeight="true" outlineLevel="0" collapsed="false">
      <c r="B26" s="4" t="s">
        <v>41</v>
      </c>
      <c r="C26" s="10" t="s">
        <v>42</v>
      </c>
      <c r="D26" s="5" t="s">
        <v>43</v>
      </c>
      <c r="E26" s="5"/>
      <c r="F26" s="5"/>
      <c r="G26" s="5"/>
      <c r="H26" s="5"/>
      <c r="I26" s="5"/>
    </row>
    <row r="27" customFormat="false" ht="15" hidden="false" customHeight="true" outlineLevel="0" collapsed="false">
      <c r="B27" s="4" t="s">
        <v>44</v>
      </c>
      <c r="C27" s="10" t="s">
        <v>45</v>
      </c>
      <c r="D27" s="5" t="s">
        <v>46</v>
      </c>
      <c r="E27" s="5"/>
      <c r="F27" s="5"/>
      <c r="G27" s="5"/>
      <c r="H27" s="5"/>
      <c r="I27" s="5"/>
    </row>
    <row r="28" customFormat="false" ht="15" hidden="false" customHeight="true" outlineLevel="0" collapsed="false">
      <c r="B28" s="4" t="s">
        <v>47</v>
      </c>
      <c r="C28" s="10" t="s">
        <v>48</v>
      </c>
      <c r="D28" s="5" t="s">
        <v>49</v>
      </c>
      <c r="E28" s="5"/>
      <c r="F28" s="5"/>
      <c r="G28" s="5"/>
      <c r="H28" s="5"/>
      <c r="I28" s="5"/>
    </row>
    <row r="29" customFormat="false" ht="15" hidden="false" customHeight="true" outlineLevel="0" collapsed="false">
      <c r="B29" s="4" t="s">
        <v>50</v>
      </c>
      <c r="C29" s="10" t="s">
        <v>48</v>
      </c>
      <c r="D29" s="5" t="s">
        <v>51</v>
      </c>
      <c r="E29" s="5"/>
      <c r="F29" s="5"/>
      <c r="G29" s="5"/>
      <c r="H29" s="5"/>
      <c r="I29" s="5"/>
    </row>
    <row r="30" customFormat="false" ht="15" hidden="false" customHeight="true" outlineLevel="0" collapsed="false">
      <c r="B30" s="4" t="s">
        <v>52</v>
      </c>
      <c r="C30" s="10" t="s">
        <v>53</v>
      </c>
      <c r="D30" s="5" t="s">
        <v>54</v>
      </c>
      <c r="E30" s="5"/>
      <c r="F30" s="5"/>
      <c r="G30" s="5"/>
      <c r="H30" s="5"/>
      <c r="I30" s="5"/>
    </row>
    <row r="31" customFormat="false" ht="15" hidden="false" customHeight="true" outlineLevel="0" collapsed="false">
      <c r="B31" s="4" t="s">
        <v>55</v>
      </c>
      <c r="C31" s="10" t="s">
        <v>56</v>
      </c>
      <c r="D31" s="5" t="s">
        <v>57</v>
      </c>
      <c r="E31" s="5"/>
      <c r="F31" s="5"/>
      <c r="G31" s="5"/>
      <c r="H31" s="5"/>
      <c r="I31" s="5"/>
    </row>
    <row r="33" customFormat="false" ht="15" hidden="false" customHeight="false" outlineLevel="0" collapsed="false">
      <c r="B33" s="3" t="s">
        <v>58</v>
      </c>
    </row>
    <row r="34" customFormat="false" ht="15" hidden="false" customHeight="false" outlineLevel="0" collapsed="false">
      <c r="B34" s="7" t="s">
        <v>59</v>
      </c>
      <c r="C34" s="11" t="n">
        <f aca="false">COUNTA(İlanlar!$C$5:$C$126)</f>
        <v>122</v>
      </c>
    </row>
    <row r="35" customFormat="false" ht="15" hidden="false" customHeight="false" outlineLevel="0" collapsed="false">
      <c r="B35" s="7" t="s">
        <v>60</v>
      </c>
      <c r="C35" s="11" t="n">
        <f aca="false">COUNTIF(İlanlar!$AB$5:$AB$126,"A*")</f>
        <v>16</v>
      </c>
    </row>
    <row r="36" customFormat="false" ht="15" hidden="false" customHeight="false" outlineLevel="0" collapsed="false">
      <c r="B36" s="7" t="s">
        <v>61</v>
      </c>
      <c r="C36" s="11" t="n">
        <f aca="false">COUNTIF(İlanlar!$AB$5:$AB$126,"B*")</f>
        <v>11</v>
      </c>
    </row>
    <row r="37" customFormat="false" ht="15" hidden="false" customHeight="false" outlineLevel="0" collapsed="false">
      <c r="B37" s="7" t="s">
        <v>62</v>
      </c>
      <c r="C37" s="11" t="n">
        <f aca="false">COUNTIF(İlanlar!$AB$5:$AB$126,"C*")</f>
        <v>95</v>
      </c>
    </row>
    <row r="38" customFormat="false" ht="15" hidden="false" customHeight="false" outlineLevel="0" collapsed="false">
      <c r="B38" s="7" t="s">
        <v>63</v>
      </c>
      <c r="C38" s="11" t="n">
        <f aca="false">COUNTIF(İlanlar!$F$5:$F$126,"Cyber*")</f>
        <v>25</v>
      </c>
    </row>
    <row r="39" customFormat="false" ht="15" hidden="false" customHeight="false" outlineLevel="0" collapsed="false">
      <c r="B39" s="7" t="s">
        <v>64</v>
      </c>
      <c r="C39" s="11" t="n">
        <f aca="false">COUNTIF(İlanlar!$G$5:$G$126,"EN")+COUNTIF(İlanlar!$G$5:$G$126,"EN (+DE artı)")</f>
        <v>16</v>
      </c>
    </row>
    <row r="40" customFormat="false" ht="15" hidden="false" customHeight="false" outlineLevel="0" collapsed="false">
      <c r="B40" s="7" t="s">
        <v>65</v>
      </c>
      <c r="C40" s="11" t="n">
        <f aca="false">COUNTIF(İlanlar!$G$5:$G$126,"EN+DE")+COUNTIF(İlanlar!$G$5:$G$126,"DE+EN")+COUNTIF(İlanlar!$G$5:$G$126,"EN+DE (akıcı DE)")</f>
        <v>24</v>
      </c>
    </row>
    <row r="41" customFormat="false" ht="15" hidden="false" customHeight="false" outlineLevel="0" collapsed="false">
      <c r="B41" s="7" t="s">
        <v>66</v>
      </c>
      <c r="C41" s="11" t="n">
        <f aca="false">COUNTIF(İlanlar!$G$5:$G$126,"DE")+COUNTIF(İlanlar!$G$5:$G$126,"DE C1")</f>
        <v>82</v>
      </c>
    </row>
    <row r="42" customFormat="false" ht="15" hidden="false" customHeight="false" outlineLevel="0" collapsed="false">
      <c r="B42" s="7" t="s">
        <v>67</v>
      </c>
      <c r="C42" s="12" t="n">
        <f aca="false">AVERAGE(İlanlar!$Z$5:$Z$126)</f>
        <v>0.633770491803279</v>
      </c>
    </row>
    <row r="43" customFormat="false" ht="15" hidden="false" customHeight="false" outlineLevel="0" collapsed="false">
      <c r="B43" s="7" t="s">
        <v>68</v>
      </c>
      <c r="C43" s="12" t="n">
        <f aca="false">MAX(İlanlar!$Z$5:$Z$126)</f>
        <v>0.91</v>
      </c>
    </row>
    <row r="44" customFormat="false" ht="15" hidden="false" customHeight="false" outlineLevel="0" collapsed="false">
      <c r="B44" s="7" t="s">
        <v>69</v>
      </c>
      <c r="C44" s="11" t="n">
        <v>114</v>
      </c>
    </row>
    <row r="45" customFormat="false" ht="15" hidden="false" customHeight="false" outlineLevel="0" collapsed="false">
      <c r="B45" s="7" t="s">
        <v>70</v>
      </c>
      <c r="C45" s="13" t="s">
        <v>71</v>
      </c>
    </row>
    <row r="47" customFormat="false" ht="15" hidden="false" customHeight="false" outlineLevel="0" collapsed="false">
      <c r="B47" s="3" t="s">
        <v>72</v>
      </c>
    </row>
    <row r="48" customFormat="false" ht="15" hidden="false" customHeight="false" outlineLevel="0" collapsed="false">
      <c r="B48" s="14" t="s">
        <v>73</v>
      </c>
      <c r="C48" s="14" t="s">
        <v>74</v>
      </c>
      <c r="D48" s="14" t="s">
        <v>75</v>
      </c>
      <c r="E48" s="14" t="s">
        <v>76</v>
      </c>
      <c r="F48" s="14" t="s">
        <v>77</v>
      </c>
      <c r="G48" s="14" t="s">
        <v>78</v>
      </c>
      <c r="H48" s="14" t="s">
        <v>79</v>
      </c>
      <c r="I48" s="14" t="s">
        <v>80</v>
      </c>
    </row>
    <row r="49" customFormat="false" ht="25.5" hidden="false" customHeight="true" outlineLevel="0" collapsed="false">
      <c r="B49" s="15" t="str">
        <f aca="false">INDEX(İlanlar!$B$5:$B$126,MATCH(C49,İlanlar!$AA$5:$AA$126,0))</f>
        <v>Red Bull</v>
      </c>
      <c r="C49" s="16" t="n">
        <v>1</v>
      </c>
      <c r="D49" s="15" t="str">
        <f aca="false">INDEX(İlanlar!$C$5:$C$126,MATCH(C49,İlanlar!$AA$5:$AA$126,0))</f>
        <v>IT Sales Applications Project Manager</v>
      </c>
      <c r="E49" s="15" t="str">
        <f aca="false">INDEX(İlanlar!$D$5:$D$126,MATCH(C49,İlanlar!$AA$5:$AA$126,0))</f>
        <v>Elsbethen</v>
      </c>
      <c r="F49" s="15" t="str">
        <f aca="false">INDEX(İlanlar!$G$5:$G$126,MATCH(C49,İlanlar!$AA$5:$AA$126,0))</f>
        <v>EN (+DE artı)</v>
      </c>
      <c r="G49" s="17" t="n">
        <f aca="false">INDEX(İlanlar!$Z$5:$Z$126,MATCH(C49,İlanlar!$AA$5:$AA$126,0))</f>
        <v>0.91</v>
      </c>
      <c r="H49" s="15" t="str">
        <f aca="false">INDEX(İlanlar!$AB$5:$AB$126,MATCH(C49,İlanlar!$AA$5:$AA$126,0))</f>
        <v>A – Hemen başvur (İngilizce)</v>
      </c>
      <c r="I49" s="18" t="str">
        <f aca="false">HYPERLINK(INDEX(İlanlar!$N$5:$N$126,MATCH(C49,İlanlar!$AA$5:$AA$126,0)),"ilanı aç")</f>
        <v>ilanı aç</v>
      </c>
    </row>
    <row r="50" customFormat="false" ht="25.5" hidden="false" customHeight="true" outlineLevel="0" collapsed="false">
      <c r="B50" s="15" t="str">
        <f aca="false">INDEX(İlanlar!$B$5:$B$126,MATCH(C50,İlanlar!$AA$5:$AA$126,0))</f>
        <v>SKIDATA GmbH</v>
      </c>
      <c r="C50" s="16" t="n">
        <v>2</v>
      </c>
      <c r="D50" s="15" t="str">
        <f aca="false">INDEX(İlanlar!$C$5:$C$126,MATCH(C50,İlanlar!$AA$5:$AA$126,0))</f>
        <v>Senior Project Manager - Delivery Execution &amp; Multi-Team Governance (m/f/d)</v>
      </c>
      <c r="E50" s="15" t="str">
        <f aca="false">INDEX(İlanlar!$D$5:$D$126,MATCH(C50,İlanlar!$AA$5:$AA$126,0))</f>
        <v>Wals</v>
      </c>
      <c r="F50" s="15" t="str">
        <f aca="false">INDEX(İlanlar!$G$5:$G$126,MATCH(C50,İlanlar!$AA$5:$AA$126,0))</f>
        <v>EN</v>
      </c>
      <c r="G50" s="17" t="n">
        <f aca="false">INDEX(İlanlar!$Z$5:$Z$126,MATCH(C50,İlanlar!$AA$5:$AA$126,0))</f>
        <v>0.87</v>
      </c>
      <c r="H50" s="15" t="str">
        <f aca="false">INDEX(İlanlar!$AB$5:$AB$126,MATCH(C50,İlanlar!$AA$5:$AA$126,0))</f>
        <v>A – Hemen başvur (İngilizce)</v>
      </c>
      <c r="I50" s="18" t="str">
        <f aca="false">HYPERLINK(INDEX(İlanlar!$N$5:$N$126,MATCH(C50,İlanlar!$AA$5:$AA$126,0)),"ilanı aç")</f>
        <v>ilanı aç</v>
      </c>
    </row>
    <row r="51" customFormat="false" ht="25.5" hidden="false" customHeight="true" outlineLevel="0" collapsed="false">
      <c r="B51" s="15" t="str">
        <f aca="false">INDEX(İlanlar!$B$5:$B$126,MATCH(C51,İlanlar!$AA$5:$AA$126,0))</f>
        <v>Red Bull</v>
      </c>
      <c r="C51" s="16" t="n">
        <v>3</v>
      </c>
      <c r="D51" s="15" t="str">
        <f aca="false">INDEX(İlanlar!$C$5:$C$126,MATCH(C51,İlanlar!$AA$5:$AA$126,0))</f>
        <v>IT Project Manager - Legal Solutions</v>
      </c>
      <c r="E51" s="15" t="str">
        <f aca="false">INDEX(İlanlar!$D$5:$D$126,MATCH(C51,İlanlar!$AA$5:$AA$126,0))</f>
        <v>Elsbethen</v>
      </c>
      <c r="F51" s="15" t="str">
        <f aca="false">INDEX(İlanlar!$G$5:$G$126,MATCH(C51,İlanlar!$AA$5:$AA$126,0))</f>
        <v>EN (+DE artı)</v>
      </c>
      <c r="G51" s="17" t="n">
        <f aca="false">INDEX(İlanlar!$Z$5:$Z$126,MATCH(C51,İlanlar!$AA$5:$AA$126,0))</f>
        <v>0.85</v>
      </c>
      <c r="H51" s="15" t="str">
        <f aca="false">INDEX(İlanlar!$AB$5:$AB$126,MATCH(C51,İlanlar!$AA$5:$AA$126,0))</f>
        <v>A – Hemen başvur (İngilizce)</v>
      </c>
      <c r="I51" s="18" t="str">
        <f aca="false">HYPERLINK(INDEX(İlanlar!$N$5:$N$126,MATCH(C51,İlanlar!$AA$5:$AA$126,0)),"ilanı aç")</f>
        <v>ilanı aç</v>
      </c>
    </row>
    <row r="52" customFormat="false" ht="25.5" hidden="false" customHeight="true" outlineLevel="0" collapsed="false">
      <c r="B52" s="15" t="str">
        <f aca="false">INDEX(İlanlar!$B$5:$B$126,MATCH(C52,İlanlar!$AA$5:$AA$126,0))</f>
        <v>Red Bull</v>
      </c>
      <c r="C52" s="16" t="n">
        <v>4</v>
      </c>
      <c r="D52" s="15" t="str">
        <f aca="false">INDEX(İlanlar!$C$5:$C$126,MATCH(C52,İlanlar!$AA$5:$AA$126,0))</f>
        <v>Project Manager (Portfolio Management)</v>
      </c>
      <c r="E52" s="15" t="str">
        <f aca="false">INDEX(İlanlar!$D$5:$D$126,MATCH(C52,İlanlar!$AA$5:$AA$126,0))</f>
        <v>Elsbethen</v>
      </c>
      <c r="F52" s="15" t="str">
        <f aca="false">INDEX(İlanlar!$G$5:$G$126,MATCH(C52,İlanlar!$AA$5:$AA$126,0))</f>
        <v>EN</v>
      </c>
      <c r="G52" s="17" t="n">
        <f aca="false">INDEX(İlanlar!$Z$5:$Z$126,MATCH(C52,İlanlar!$AA$5:$AA$126,0))</f>
        <v>0.85</v>
      </c>
      <c r="H52" s="15" t="str">
        <f aca="false">INDEX(İlanlar!$AB$5:$AB$126,MATCH(C52,İlanlar!$AA$5:$AA$126,0))</f>
        <v>A – Hemen başvur (İngilizce)</v>
      </c>
      <c r="I52" s="18" t="str">
        <f aca="false">HYPERLINK(INDEX(İlanlar!$N$5:$N$126,MATCH(C52,İlanlar!$AA$5:$AA$126,0)),"ilanı aç")</f>
        <v>ilanı aç</v>
      </c>
    </row>
    <row r="53" customFormat="false" ht="25.5" hidden="false" customHeight="true" outlineLevel="0" collapsed="false">
      <c r="B53" s="15" t="str">
        <f aca="false">INDEX(İlanlar!$B$5:$B$126,MATCH(C53,İlanlar!$AA$5:$AA$126,0))</f>
        <v>Red Bull</v>
      </c>
      <c r="C53" s="16" t="n">
        <v>5</v>
      </c>
      <c r="D53" s="15" t="str">
        <f aca="false">INDEX(İlanlar!$C$5:$C$126,MATCH(C53,İlanlar!$AA$5:$AA$126,0))</f>
        <v>Application Security Service Manager</v>
      </c>
      <c r="E53" s="15" t="str">
        <f aca="false">INDEX(İlanlar!$D$5:$D$126,MATCH(C53,İlanlar!$AA$5:$AA$126,0))</f>
        <v>Elsbethen</v>
      </c>
      <c r="F53" s="15" t="str">
        <f aca="false">INDEX(İlanlar!$G$5:$G$126,MATCH(C53,İlanlar!$AA$5:$AA$126,0))</f>
        <v>EN (+DE artı)</v>
      </c>
      <c r="G53" s="17" t="n">
        <f aca="false">INDEX(İlanlar!$Z$5:$Z$126,MATCH(C53,İlanlar!$AA$5:$AA$126,0))</f>
        <v>0.85</v>
      </c>
      <c r="H53" s="15" t="str">
        <f aca="false">INDEX(İlanlar!$AB$5:$AB$126,MATCH(C53,İlanlar!$AA$5:$AA$126,0))</f>
        <v>A – Hemen başvur (İngilizce)</v>
      </c>
      <c r="I53" s="18" t="str">
        <f aca="false">HYPERLINK(INDEX(İlanlar!$N$5:$N$126,MATCH(C53,İlanlar!$AA$5:$AA$126,0)),"ilanı aç")</f>
        <v>ilanı aç</v>
      </c>
    </row>
    <row r="54" customFormat="false" ht="25.5" hidden="false" customHeight="true" outlineLevel="0" collapsed="false">
      <c r="B54" s="15" t="str">
        <f aca="false">INDEX(İlanlar!$B$5:$B$126,MATCH(C54,İlanlar!$AA$5:$AA$126,0))</f>
        <v>Red Bull</v>
      </c>
      <c r="C54" s="16" t="n">
        <v>6</v>
      </c>
      <c r="D54" s="15" t="str">
        <f aca="false">INDEX(İlanlar!$C$5:$C$126,MATCH(C54,İlanlar!$AA$5:$AA$126,0))</f>
        <v>IT Team Manager - Global Field Sales Applications</v>
      </c>
      <c r="E54" s="15" t="str">
        <f aca="false">INDEX(İlanlar!$D$5:$D$126,MATCH(C54,İlanlar!$AA$5:$AA$126,0))</f>
        <v>Elsbethen</v>
      </c>
      <c r="F54" s="15" t="str">
        <f aca="false">INDEX(İlanlar!$G$5:$G$126,MATCH(C54,İlanlar!$AA$5:$AA$126,0))</f>
        <v>EN (+DE artı)</v>
      </c>
      <c r="G54" s="17" t="n">
        <f aca="false">INDEX(İlanlar!$Z$5:$Z$126,MATCH(C54,İlanlar!$AA$5:$AA$126,0))</f>
        <v>0.85</v>
      </c>
      <c r="H54" s="15" t="str">
        <f aca="false">INDEX(İlanlar!$AB$5:$AB$126,MATCH(C54,İlanlar!$AA$5:$AA$126,0))</f>
        <v>A – Hemen başvur (İngilizce)</v>
      </c>
      <c r="I54" s="18" t="str">
        <f aca="false">HYPERLINK(INDEX(İlanlar!$N$5:$N$126,MATCH(C54,İlanlar!$AA$5:$AA$126,0)),"ilanı aç")</f>
        <v>ilanı aç</v>
      </c>
    </row>
    <row r="55" customFormat="false" ht="25.5" hidden="false" customHeight="true" outlineLevel="0" collapsed="false">
      <c r="B55" s="15" t="str">
        <f aca="false">INDEX(İlanlar!$B$5:$B$126,MATCH(C55,İlanlar!$AA$5:$AA$126,0))</f>
        <v>TransUnion</v>
      </c>
      <c r="C55" s="16" t="n">
        <v>7</v>
      </c>
      <c r="D55" s="15" t="str">
        <f aca="false">INDEX(İlanlar!$C$5:$C$126,MATCH(C55,İlanlar!$AA$5:$AA$126,0))</f>
        <v>Technical Project Manager</v>
      </c>
      <c r="E55" s="15" t="str">
        <f aca="false">INDEX(İlanlar!$D$5:$D$126,MATCH(C55,İlanlar!$AA$5:$AA$126,0))</f>
        <v>Salzburg, Salzburg, Austria</v>
      </c>
      <c r="F55" s="15" t="str">
        <f aca="false">INDEX(İlanlar!$G$5:$G$126,MATCH(C55,İlanlar!$AA$5:$AA$126,0))</f>
        <v>EN</v>
      </c>
      <c r="G55" s="17" t="n">
        <f aca="false">INDEX(İlanlar!$Z$5:$Z$126,MATCH(C55,İlanlar!$AA$5:$AA$126,0))</f>
        <v>0.84</v>
      </c>
      <c r="H55" s="15" t="str">
        <f aca="false">INDEX(İlanlar!$AB$5:$AB$126,MATCH(C55,İlanlar!$AA$5:$AA$126,0))</f>
        <v>A – Hemen başvur (İngilizce)</v>
      </c>
      <c r="I55" s="18" t="str">
        <f aca="false">HYPERLINK(INDEX(İlanlar!$N$5:$N$126,MATCH(C55,İlanlar!$AA$5:$AA$126,0)),"ilanı aç")</f>
        <v>ilanı aç</v>
      </c>
    </row>
    <row r="56" customFormat="false" ht="25.5" hidden="false" customHeight="true" outlineLevel="0" collapsed="false">
      <c r="B56" s="15" t="str">
        <f aca="false">INDEX(İlanlar!$B$5:$B$126,MATCH(C56,İlanlar!$AA$5:$AA$126,0))</f>
        <v>Red Bull</v>
      </c>
      <c r="C56" s="16" t="n">
        <v>8</v>
      </c>
      <c r="D56" s="15" t="str">
        <f aca="false">INDEX(İlanlar!$C$5:$C$126,MATCH(C56,İlanlar!$AA$5:$AA$126,0))</f>
        <v>IT Project / Application Manager - Production Application</v>
      </c>
      <c r="E56" s="15" t="str">
        <f aca="false">INDEX(İlanlar!$D$5:$D$126,MATCH(C56,İlanlar!$AA$5:$AA$126,0))</f>
        <v>Elsbethen</v>
      </c>
      <c r="F56" s="15" t="str">
        <f aca="false">INDEX(İlanlar!$G$5:$G$126,MATCH(C56,İlanlar!$AA$5:$AA$126,0))</f>
        <v>EN (+DE artı)</v>
      </c>
      <c r="G56" s="17" t="n">
        <f aca="false">INDEX(İlanlar!$Z$5:$Z$126,MATCH(C56,İlanlar!$AA$5:$AA$126,0))</f>
        <v>0.82</v>
      </c>
      <c r="H56" s="15" t="str">
        <f aca="false">INDEX(İlanlar!$AB$5:$AB$126,MATCH(C56,İlanlar!$AA$5:$AA$126,0))</f>
        <v>A – Hemen başvur (İngilizce)</v>
      </c>
      <c r="I56" s="18" t="str">
        <f aca="false">HYPERLINK(INDEX(İlanlar!$N$5:$N$126,MATCH(C56,İlanlar!$AA$5:$AA$126,0)),"ilanı aç")</f>
        <v>ilanı aç</v>
      </c>
    </row>
    <row r="57" customFormat="false" ht="25.5" hidden="false" customHeight="true" outlineLevel="0" collapsed="false">
      <c r="B57" s="15" t="str">
        <f aca="false">INDEX(İlanlar!$B$5:$B$126,MATCH(C57,İlanlar!$AA$5:$AA$126,0))</f>
        <v>Amer Sports</v>
      </c>
      <c r="C57" s="16" t="n">
        <v>9</v>
      </c>
      <c r="D57" s="15" t="str">
        <f aca="false">INDEX(İlanlar!$C$5:$C$126,MATCH(C57,İlanlar!$AA$5:$AA$126,0))</f>
        <v>OT-Security Domain Manager(m/f/d)</v>
      </c>
      <c r="E57" s="15" t="str">
        <f aca="false">INDEX(İlanlar!$D$5:$D$126,MATCH(C57,İlanlar!$AA$5:$AA$126,0))</f>
        <v>Altenmarkt im Pongau, Salzburg, Austria</v>
      </c>
      <c r="F57" s="15" t="str">
        <f aca="false">INDEX(İlanlar!$G$5:$G$126,MATCH(C57,İlanlar!$AA$5:$AA$126,0))</f>
        <v>EN</v>
      </c>
      <c r="G57" s="17" t="n">
        <f aca="false">INDEX(İlanlar!$Z$5:$Z$126,MATCH(C57,İlanlar!$AA$5:$AA$126,0))</f>
        <v>0.81</v>
      </c>
      <c r="H57" s="15" t="str">
        <f aca="false">INDEX(İlanlar!$AB$5:$AB$126,MATCH(C57,İlanlar!$AA$5:$AA$126,0))</f>
        <v>A – Hemen başvur (İngilizce)</v>
      </c>
      <c r="I57" s="18" t="str">
        <f aca="false">HYPERLINK(INDEX(İlanlar!$N$5:$N$126,MATCH(C57,İlanlar!$AA$5:$AA$126,0)),"ilanı aç")</f>
        <v>ilanı aç</v>
      </c>
    </row>
    <row r="58" customFormat="false" ht="25.5" hidden="false" customHeight="true" outlineLevel="0" collapsed="false">
      <c r="B58" s="15" t="str">
        <f aca="false">INDEX(İlanlar!$B$5:$B$126,MATCH(C58,İlanlar!$AA$5:$AA$126,0))</f>
        <v>epunkt GmbH</v>
      </c>
      <c r="C58" s="16" t="n">
        <v>10</v>
      </c>
      <c r="D58" s="15" t="str">
        <f aca="false">INDEX(İlanlar!$C$5:$C$126,MATCH(C58,İlanlar!$AA$5:$AA$126,0))</f>
        <v>IT Allrounder (w/m/x)</v>
      </c>
      <c r="E58" s="15" t="str">
        <f aca="false">INDEX(İlanlar!$D$5:$D$126,MATCH(C58,İlanlar!$AA$5:$AA$126,0))</f>
        <v>Bezirk Vöcklabruck</v>
      </c>
      <c r="F58" s="15" t="str">
        <f aca="false">INDEX(İlanlar!$G$5:$G$126,MATCH(C58,İlanlar!$AA$5:$AA$126,0))</f>
        <v>EN (+DE artı)</v>
      </c>
      <c r="G58" s="17" t="n">
        <f aca="false">INDEX(İlanlar!$Z$5:$Z$126,MATCH(C58,İlanlar!$AA$5:$AA$126,0))</f>
        <v>0.805</v>
      </c>
      <c r="H58" s="15" t="str">
        <f aca="false">INDEX(İlanlar!$AB$5:$AB$126,MATCH(C58,İlanlar!$AA$5:$AA$126,0))</f>
        <v>A – Hemen başvur (İngilizce)</v>
      </c>
      <c r="I58" s="18" t="str">
        <f aca="false">HYPERLINK(INDEX(İlanlar!$N$5:$N$126,MATCH(C58,İlanlar!$AA$5:$AA$126,0)),"ilanı aç")</f>
        <v>ilanı aç</v>
      </c>
    </row>
    <row r="59" customFormat="false" ht="25.5" hidden="false" customHeight="true" outlineLevel="0" collapsed="false">
      <c r="B59" s="15" t="str">
        <f aca="false">INDEX(İlanlar!$B$5:$B$126,MATCH(C59,İlanlar!$AA$5:$AA$126,0))</f>
        <v>TransUnion</v>
      </c>
      <c r="C59" s="16" t="n">
        <v>11</v>
      </c>
      <c r="D59" s="15" t="str">
        <f aca="false">INDEX(İlanlar!$C$5:$C$126,MATCH(C59,İlanlar!$AA$5:$AA$126,0))</f>
        <v>Senior Systems Administrator</v>
      </c>
      <c r="E59" s="15" t="str">
        <f aca="false">INDEX(İlanlar!$D$5:$D$126,MATCH(C59,İlanlar!$AA$5:$AA$126,0))</f>
        <v>Salzburg, Salzburg, Austria</v>
      </c>
      <c r="F59" s="15" t="str">
        <f aca="false">INDEX(İlanlar!$G$5:$G$126,MATCH(C59,İlanlar!$AA$5:$AA$126,0))</f>
        <v>EN</v>
      </c>
      <c r="G59" s="17" t="n">
        <f aca="false">INDEX(İlanlar!$Z$5:$Z$126,MATCH(C59,İlanlar!$AA$5:$AA$126,0))</f>
        <v>0.795</v>
      </c>
      <c r="H59" s="15" t="str">
        <f aca="false">INDEX(İlanlar!$AB$5:$AB$126,MATCH(C59,İlanlar!$AA$5:$AA$126,0))</f>
        <v>A – Hemen başvur (İngilizce)</v>
      </c>
      <c r="I59" s="18" t="str">
        <f aca="false">HYPERLINK(INDEX(İlanlar!$N$5:$N$126,MATCH(C59,İlanlar!$AA$5:$AA$126,0)),"ilanı aç")</f>
        <v>ilanı aç</v>
      </c>
    </row>
    <row r="60" customFormat="false" ht="25.5" hidden="false" customHeight="true" outlineLevel="0" collapsed="false">
      <c r="B60" s="15" t="str">
        <f aca="false">INDEX(İlanlar!$B$5:$B$126,MATCH(C60,İlanlar!$AA$5:$AA$126,0))</f>
        <v>Red Bull</v>
      </c>
      <c r="C60" s="16" t="n">
        <v>12</v>
      </c>
      <c r="D60" s="15" t="str">
        <f aca="false">INDEX(İlanlar!$C$5:$C$126,MATCH(C60,İlanlar!$AA$5:$AA$126,0))</f>
        <v>IT Infrastructure Engineer</v>
      </c>
      <c r="E60" s="15" t="str">
        <f aca="false">INDEX(İlanlar!$D$5:$D$126,MATCH(C60,İlanlar!$AA$5:$AA$126,0))</f>
        <v>Thalgau</v>
      </c>
      <c r="F60" s="15" t="str">
        <f aca="false">INDEX(İlanlar!$G$5:$G$126,MATCH(C60,İlanlar!$AA$5:$AA$126,0))</f>
        <v>EN (+DE artı)</v>
      </c>
      <c r="G60" s="17" t="n">
        <f aca="false">INDEX(İlanlar!$Z$5:$Z$126,MATCH(C60,İlanlar!$AA$5:$AA$126,0))</f>
        <v>0.79</v>
      </c>
      <c r="H60" s="15" t="str">
        <f aca="false">INDEX(İlanlar!$AB$5:$AB$126,MATCH(C60,İlanlar!$AA$5:$AA$126,0))</f>
        <v>A – Hemen başvur (İngilizce)</v>
      </c>
      <c r="I60" s="18" t="str">
        <f aca="false">HYPERLINK(INDEX(İlanlar!$N$5:$N$126,MATCH(C60,İlanlar!$AA$5:$AA$126,0)),"ilanı aç")</f>
        <v>ilanı aç</v>
      </c>
    </row>
    <row r="61" customFormat="false" ht="25.5" hidden="false" customHeight="true" outlineLevel="0" collapsed="false">
      <c r="B61" s="15" t="str">
        <f aca="false">INDEX(İlanlar!$B$5:$B$126,MATCH(C61,İlanlar!$AA$5:$AA$126,0))</f>
        <v>Red Bull</v>
      </c>
      <c r="C61" s="16" t="n">
        <v>13</v>
      </c>
      <c r="D61" s="15" t="str">
        <f aca="false">INDEX(İlanlar!$C$5:$C$126,MATCH(C61,İlanlar!$AA$5:$AA$126,0))</f>
        <v>IT Project Manager - Sales Applications</v>
      </c>
      <c r="E61" s="15" t="str">
        <f aca="false">INDEX(İlanlar!$D$5:$D$126,MATCH(C61,İlanlar!$AA$5:$AA$126,0))</f>
        <v>Elsbethen</v>
      </c>
      <c r="F61" s="15" t="str">
        <f aca="false">INDEX(İlanlar!$G$5:$G$126,MATCH(C61,İlanlar!$AA$5:$AA$126,0))</f>
        <v>EN (+DE artı)</v>
      </c>
      <c r="G61" s="17" t="n">
        <f aca="false">INDEX(İlanlar!$Z$5:$Z$126,MATCH(C61,İlanlar!$AA$5:$AA$126,0))</f>
        <v>0.76</v>
      </c>
      <c r="H61" s="15" t="str">
        <f aca="false">INDEX(İlanlar!$AB$5:$AB$126,MATCH(C61,İlanlar!$AA$5:$AA$126,0))</f>
        <v>A – Hemen başvur (İngilizce)</v>
      </c>
      <c r="I61" s="18" t="str">
        <f aca="false">HYPERLINK(INDEX(İlanlar!$N$5:$N$126,MATCH(C61,İlanlar!$AA$5:$AA$126,0)),"ilanı aç")</f>
        <v>ilanı aç</v>
      </c>
    </row>
    <row r="62" customFormat="false" ht="25.5" hidden="false" customHeight="true" outlineLevel="0" collapsed="false">
      <c r="B62" s="15" t="str">
        <f aca="false">INDEX(İlanlar!$B$5:$B$126,MATCH(C62,İlanlar!$AA$5:$AA$126,0))</f>
        <v>PALFINGER</v>
      </c>
      <c r="C62" s="16" t="n">
        <v>14</v>
      </c>
      <c r="D62" s="15" t="str">
        <f aca="false">INDEX(İlanlar!$C$5:$C$126,MATCH(C62,İlanlar!$AA$5:$AA$126,0))</f>
        <v>Cyber Security Engineer (f/m/d)</v>
      </c>
      <c r="E62" s="15" t="str">
        <f aca="false">INDEX(İlanlar!$D$5:$D$126,MATCH(C62,İlanlar!$AA$5:$AA$126,0))</f>
        <v>Bergheim, Salzburg, Austria</v>
      </c>
      <c r="F62" s="15" t="str">
        <f aca="false">INDEX(İlanlar!$G$5:$G$126,MATCH(C62,İlanlar!$AA$5:$AA$126,0))</f>
        <v>EN</v>
      </c>
      <c r="G62" s="17" t="n">
        <f aca="false">INDEX(İlanlar!$Z$5:$Z$126,MATCH(C62,İlanlar!$AA$5:$AA$126,0))</f>
        <v>0.76</v>
      </c>
      <c r="H62" s="15" t="str">
        <f aca="false">INDEX(İlanlar!$AB$5:$AB$126,MATCH(C62,İlanlar!$AA$5:$AA$126,0))</f>
        <v>A – Hemen başvur (İngilizce)</v>
      </c>
      <c r="I62" s="18" t="str">
        <f aca="false">HYPERLINK(INDEX(İlanlar!$N$5:$N$126,MATCH(C62,İlanlar!$AA$5:$AA$126,0)),"ilanı aç")</f>
        <v>ilanı aç</v>
      </c>
    </row>
    <row r="63" customFormat="false" ht="25.5" hidden="false" customHeight="true" outlineLevel="0" collapsed="false">
      <c r="B63" s="15" t="str">
        <f aca="false">INDEX(İlanlar!$B$5:$B$126,MATCH(C63,İlanlar!$AA$5:$AA$126,0))</f>
        <v>Aptean</v>
      </c>
      <c r="C63" s="16" t="n">
        <v>15</v>
      </c>
      <c r="D63" s="15" t="str">
        <f aca="false">INDEX(İlanlar!$C$5:$C$126,MATCH(C63,İlanlar!$AA$5:$AA$126,0))</f>
        <v>ERP Customer Support Consultant</v>
      </c>
      <c r="E63" s="15" t="str">
        <f aca="false">INDEX(İlanlar!$D$5:$D$126,MATCH(C63,İlanlar!$AA$5:$AA$126,0))</f>
        <v>Salzburg, Austria</v>
      </c>
      <c r="F63" s="15" t="str">
        <f aca="false">INDEX(İlanlar!$G$5:$G$126,MATCH(C63,İlanlar!$AA$5:$AA$126,0))</f>
        <v>EN</v>
      </c>
      <c r="G63" s="17" t="n">
        <f aca="false">INDEX(İlanlar!$Z$5:$Z$126,MATCH(C63,İlanlar!$AA$5:$AA$126,0))</f>
        <v>0.74</v>
      </c>
      <c r="H63" s="15" t="str">
        <f aca="false">INDEX(İlanlar!$AB$5:$AB$126,MATCH(C63,İlanlar!$AA$5:$AA$126,0))</f>
        <v>A – Hemen başvur (İngilizce)</v>
      </c>
      <c r="I63" s="18" t="str">
        <f aca="false">HYPERLINK(INDEX(İlanlar!$N$5:$N$126,MATCH(C63,İlanlar!$AA$5:$AA$126,0)),"ilanı aç")</f>
        <v>ilanı aç</v>
      </c>
    </row>
    <row r="64" customFormat="false" ht="25.5" hidden="false" customHeight="true" outlineLevel="0" collapsed="false">
      <c r="B64" s="15" t="str">
        <f aca="false">INDEX(İlanlar!$B$5:$B$126,MATCH(C64,İlanlar!$AA$5:$AA$126,0))</f>
        <v>SKIDATA</v>
      </c>
      <c r="C64" s="16" t="n">
        <v>16</v>
      </c>
      <c r="D64" s="15" t="str">
        <f aca="false">INDEX(İlanlar!$C$5:$C$126,MATCH(C64,İlanlar!$AA$5:$AA$126,0))</f>
        <v>Product Security Engineer (mfd)</v>
      </c>
      <c r="E64" s="15" t="str">
        <f aca="false">INDEX(İlanlar!$D$5:$D$126,MATCH(C64,İlanlar!$AA$5:$AA$126,0))</f>
        <v>Wals-Siezenheim, Salzburg, Austria</v>
      </c>
      <c r="F64" s="15" t="str">
        <f aca="false">INDEX(İlanlar!$G$5:$G$126,MATCH(C64,İlanlar!$AA$5:$AA$126,0))</f>
        <v>EN</v>
      </c>
      <c r="G64" s="17" t="n">
        <f aca="false">INDEX(İlanlar!$Z$5:$Z$126,MATCH(C64,İlanlar!$AA$5:$AA$126,0))</f>
        <v>0.71</v>
      </c>
      <c r="H64" s="15" t="str">
        <f aca="false">INDEX(İlanlar!$AB$5:$AB$126,MATCH(C64,İlanlar!$AA$5:$AA$126,0))</f>
        <v>A – Hemen başvur (İngilizce)</v>
      </c>
      <c r="I64" s="18" t="str">
        <f aca="false">HYPERLINK(INDEX(İlanlar!$N$5:$N$126,MATCH(C64,İlanlar!$AA$5:$AA$126,0)),"ilanı aç")</f>
        <v>ilanı aç</v>
      </c>
    </row>
    <row r="65" customFormat="false" ht="25.5" hidden="false" customHeight="true" outlineLevel="0" collapsed="false">
      <c r="B65" s="15" t="str">
        <f aca="false">INDEX(İlanlar!$B$5:$B$126,MATCH(C65,İlanlar!$AA$5:$AA$126,0))</f>
        <v>Rehrl+Partner Personalberatung GmbH</v>
      </c>
      <c r="C65" s="16" t="n">
        <v>17</v>
      </c>
      <c r="D65" s="15" t="str">
        <f aca="false">INDEX(İlanlar!$C$5:$C$126,MATCH(C65,İlanlar!$AA$5:$AA$126,0))</f>
        <v>Leitung IT-Infrastruktur (m/w/d)</v>
      </c>
      <c r="E65" s="15" t="str">
        <f aca="false">INDEX(İlanlar!$D$5:$D$126,MATCH(C65,İlanlar!$AA$5:$AA$126,0))</f>
        <v>Salzburg, Salzburg, Austria</v>
      </c>
      <c r="F65" s="15" t="str">
        <f aca="false">INDEX(İlanlar!$G$5:$G$126,MATCH(C65,İlanlar!$AA$5:$AA$126,0))</f>
        <v>DE</v>
      </c>
      <c r="G65" s="17" t="n">
        <f aca="false">INDEX(İlanlar!$Z$5:$Z$126,MATCH(C65,İlanlar!$AA$5:$AA$126,0))</f>
        <v>0.775</v>
      </c>
      <c r="H65" s="15" t="str">
        <f aca="false">INDEX(İlanlar!$AB$5:$AB$126,MATCH(C65,İlanlar!$AA$5:$AA$126,0))</f>
        <v>B – Başvur (Almanca gerekli)</v>
      </c>
      <c r="I65" s="18" t="str">
        <f aca="false">HYPERLINK(INDEX(İlanlar!$N$5:$N$126,MATCH(C65,İlanlar!$AA$5:$AA$126,0)),"ilanı aç")</f>
        <v>ilanı aç</v>
      </c>
    </row>
    <row r="66" customFormat="false" ht="25.5" hidden="false" customHeight="true" outlineLevel="0" collapsed="false">
      <c r="B66" s="15" t="str">
        <f aca="false">INDEX(İlanlar!$B$5:$B$126,MATCH(C66,İlanlar!$AA$5:$AA$126,0))</f>
        <v>KERN engineering careers GmbH</v>
      </c>
      <c r="C66" s="16" t="n">
        <v>18</v>
      </c>
      <c r="D66" s="15" t="str">
        <f aca="false">INDEX(İlanlar!$C$5:$C$126,MATCH(C66,İlanlar!$AA$5:$AA$126,0))</f>
        <v>Information Security Consultant (w/m/d)</v>
      </c>
      <c r="E66" s="15" t="str">
        <f aca="false">INDEX(İlanlar!$D$5:$D$126,MATCH(C66,İlanlar!$AA$5:$AA$126,0))</f>
        <v>Graz, Klagenfurt, Salzburg, Wels, Wien</v>
      </c>
      <c r="F66" s="15" t="str">
        <f aca="false">INDEX(İlanlar!$G$5:$G$126,MATCH(C66,İlanlar!$AA$5:$AA$126,0))</f>
        <v>DE+EN</v>
      </c>
      <c r="G66" s="17" t="n">
        <f aca="false">INDEX(İlanlar!$Z$5:$Z$126,MATCH(C66,İlanlar!$AA$5:$AA$126,0))</f>
        <v>0.775</v>
      </c>
      <c r="H66" s="15" t="str">
        <f aca="false">INDEX(İlanlar!$AB$5:$AB$126,MATCH(C66,İlanlar!$AA$5:$AA$126,0))</f>
        <v>B – Başvur (Almanca gerekli)</v>
      </c>
      <c r="I66" s="18" t="str">
        <f aca="false">HYPERLINK(INDEX(İlanlar!$N$5:$N$126,MATCH(C66,İlanlar!$AA$5:$AA$126,0)),"ilanı aç")</f>
        <v>ilanı aç</v>
      </c>
    </row>
    <row r="67" customFormat="false" ht="25.5" hidden="false" customHeight="true" outlineLevel="0" collapsed="false">
      <c r="B67" s="15" t="str">
        <f aca="false">INDEX(İlanlar!$B$5:$B$126,MATCH(C67,İlanlar!$AA$5:$AA$126,0))</f>
        <v>Salzburger Abfallbeseitigung GmbH</v>
      </c>
      <c r="C67" s="16" t="n">
        <v>19</v>
      </c>
      <c r="D67" s="15" t="str">
        <f aca="false">INDEX(İlanlar!$C$5:$C$126,MATCH(C67,İlanlar!$AA$5:$AA$126,0))</f>
        <v>Koordinator für Informationssicherheit und Managementsysteme (m/w/d)</v>
      </c>
      <c r="E67" s="15" t="str">
        <f aca="false">INDEX(İlanlar!$D$5:$D$126,MATCH(C67,İlanlar!$AA$5:$AA$126,0))</f>
        <v>Salzburg (Stadt)</v>
      </c>
      <c r="F67" s="15" t="str">
        <f aca="false">INDEX(İlanlar!$G$5:$G$126,MATCH(C67,İlanlar!$AA$5:$AA$126,0))</f>
        <v>DE</v>
      </c>
      <c r="G67" s="17" t="n">
        <f aca="false">INDEX(İlanlar!$Z$5:$Z$126,MATCH(C67,İlanlar!$AA$5:$AA$126,0))</f>
        <v>0.77</v>
      </c>
      <c r="H67" s="15" t="str">
        <f aca="false">INDEX(İlanlar!$AB$5:$AB$126,MATCH(C67,İlanlar!$AA$5:$AA$126,0))</f>
        <v>B – Başvur (Almanca gerekli)</v>
      </c>
      <c r="I67" s="18" t="str">
        <f aca="false">HYPERLINK(INDEX(İlanlar!$N$5:$N$126,MATCH(C67,İlanlar!$AA$5:$AA$126,0)),"ilanı aç")</f>
        <v>ilanı aç</v>
      </c>
    </row>
    <row r="68" customFormat="false" ht="25.5" hidden="false" customHeight="true" outlineLevel="0" collapsed="false">
      <c r="B68" s="15" t="str">
        <f aca="false">INDEX(İlanlar!$B$5:$B$126,MATCH(C68,İlanlar!$AA$5:$AA$126,0))</f>
        <v>Xenium AG</v>
      </c>
      <c r="C68" s="16" t="n">
        <v>20</v>
      </c>
      <c r="D68" s="15" t="str">
        <f aca="false">INDEX(İlanlar!$C$5:$C$126,MATCH(C68,İlanlar!$AA$5:$AA$126,0))</f>
        <v>Lead IT Consultant Digitalisierung &amp; Projektleitung (m/w/d)</v>
      </c>
      <c r="E68" s="15" t="str">
        <f aca="false">INDEX(İlanlar!$D$5:$D$126,MATCH(C68,İlanlar!$AA$5:$AA$126,0))</f>
        <v>Salzburg, Austria</v>
      </c>
      <c r="F68" s="15" t="str">
        <f aca="false">INDEX(İlanlar!$G$5:$G$126,MATCH(C68,İlanlar!$AA$5:$AA$126,0))</f>
        <v>DE+EN</v>
      </c>
      <c r="G68" s="17" t="n">
        <f aca="false">INDEX(İlanlar!$Z$5:$Z$126,MATCH(C68,İlanlar!$AA$5:$AA$126,0))</f>
        <v>0.75</v>
      </c>
      <c r="H68" s="15" t="str">
        <f aca="false">INDEX(İlanlar!$AB$5:$AB$126,MATCH(C68,İlanlar!$AA$5:$AA$126,0))</f>
        <v>B – Başvur (Almanca gerekli)</v>
      </c>
      <c r="I68" s="18" t="str">
        <f aca="false">HYPERLINK(INDEX(İlanlar!$N$5:$N$126,MATCH(C68,İlanlar!$AA$5:$AA$126,0)),"ilanı aç")</f>
        <v>ilanı aç</v>
      </c>
    </row>
    <row r="69" customFormat="false" ht="25.5" hidden="false" customHeight="true" outlineLevel="0" collapsed="false">
      <c r="B69" s="15" t="str">
        <f aca="false">INDEX(İlanlar!$B$5:$B$126,MATCH(C69,İlanlar!$AA$5:$AA$126,0))</f>
        <v>x-tention Informationstechnologie GmbH</v>
      </c>
      <c r="C69" s="16" t="n">
        <v>21</v>
      </c>
      <c r="D69" s="15" t="str">
        <f aca="false">INDEX(İlanlar!$C$5:$C$126,MATCH(C69,İlanlar!$AA$5:$AA$126,0))</f>
        <v>Senior Cyber Security Consultant &amp; Project Manager (m/w/d)</v>
      </c>
      <c r="E69" s="15" t="str">
        <f aca="false">INDEX(İlanlar!$D$5:$D$126,MATCH(C69,İlanlar!$AA$5:$AA$126,0))</f>
        <v>Klagenfurt am Wörthersee, Wien, St. Peter in der Au, Graz, Wels, Salzburg (Stadt)</v>
      </c>
      <c r="F69" s="15" t="str">
        <f aca="false">INDEX(İlanlar!$G$5:$G$126,MATCH(C69,İlanlar!$AA$5:$AA$126,0))</f>
        <v>DE+EN</v>
      </c>
      <c r="G69" s="17" t="n">
        <f aca="false">INDEX(İlanlar!$Z$5:$Z$126,MATCH(C69,İlanlar!$AA$5:$AA$126,0))</f>
        <v>0.74</v>
      </c>
      <c r="H69" s="15" t="str">
        <f aca="false">INDEX(İlanlar!$AB$5:$AB$126,MATCH(C69,İlanlar!$AA$5:$AA$126,0))</f>
        <v>B – Başvur (Almanca gerekli)</v>
      </c>
      <c r="I69" s="18" t="str">
        <f aca="false">HYPERLINK(INDEX(İlanlar!$N$5:$N$126,MATCH(C69,İlanlar!$AA$5:$AA$126,0)),"ilanı aç")</f>
        <v>ilanı aç</v>
      </c>
    </row>
    <row r="70" customFormat="false" ht="25.5" hidden="false" customHeight="true" outlineLevel="0" collapsed="false">
      <c r="B70" s="15" t="str">
        <f aca="false">INDEX(İlanlar!$B$5:$B$126,MATCH(C70,İlanlar!$AA$5:$AA$126,0))</f>
        <v>Soulkitchen Group</v>
      </c>
      <c r="C70" s="16" t="n">
        <v>22</v>
      </c>
      <c r="D70" s="15" t="str">
        <f aca="false">INDEX(İlanlar!$C$5:$C$126,MATCH(C70,İlanlar!$AA$5:$AA$126,0))</f>
        <v>IT-Manager (m/w/d)</v>
      </c>
      <c r="E70" s="15" t="str">
        <f aca="false">INDEX(İlanlar!$D$5:$D$126,MATCH(C70,İlanlar!$AA$5:$AA$126,0))</f>
        <v>Salzburg, Salzburg, Austria</v>
      </c>
      <c r="F70" s="15" t="str">
        <f aca="false">INDEX(İlanlar!$G$5:$G$126,MATCH(C70,İlanlar!$AA$5:$AA$126,0))</f>
        <v>DE C1</v>
      </c>
      <c r="G70" s="17" t="n">
        <f aca="false">INDEX(İlanlar!$Z$5:$Z$126,MATCH(C70,İlanlar!$AA$5:$AA$126,0))</f>
        <v>0.74</v>
      </c>
      <c r="H70" s="15" t="str">
        <f aca="false">INDEX(İlanlar!$AB$5:$AB$126,MATCH(C70,İlanlar!$AA$5:$AA$126,0))</f>
        <v>B – Başvur (Almanca gerekli)</v>
      </c>
      <c r="I70" s="18" t="str">
        <f aca="false">HYPERLINK(INDEX(İlanlar!$N$5:$N$126,MATCH(C70,İlanlar!$AA$5:$AA$126,0)),"ilanı aç")</f>
        <v>ilanı aç</v>
      </c>
    </row>
    <row r="71" customFormat="false" ht="25.5" hidden="false" customHeight="true" outlineLevel="0" collapsed="false">
      <c r="B71" s="15" t="str">
        <f aca="false">INDEX(İlanlar!$B$5:$B$126,MATCH(C71,İlanlar!$AA$5:$AA$126,0))</f>
        <v>HR Consulting Ines Schöffmann GmbH</v>
      </c>
      <c r="C71" s="16" t="n">
        <v>23</v>
      </c>
      <c r="D71" s="15" t="str">
        <f aca="false">INDEX(İlanlar!$C$5:$C$126,MATCH(C71,İlanlar!$AA$5:$AA$126,0))</f>
        <v>IT-Sicherheitsarchitekt:in</v>
      </c>
      <c r="E71" s="15" t="str">
        <f aca="false">INDEX(İlanlar!$D$5:$D$126,MATCH(C71,İlanlar!$AA$5:$AA$126,0))</f>
        <v>Zell Am See, Salzburg, Austria</v>
      </c>
      <c r="F71" s="15" t="str">
        <f aca="false">INDEX(İlanlar!$G$5:$G$126,MATCH(C71,İlanlar!$AA$5:$AA$126,0))</f>
        <v>DE+EN</v>
      </c>
      <c r="G71" s="17" t="n">
        <f aca="false">INDEX(İlanlar!$Z$5:$Z$126,MATCH(C71,İlanlar!$AA$5:$AA$126,0))</f>
        <v>0.735</v>
      </c>
      <c r="H71" s="15" t="str">
        <f aca="false">INDEX(İlanlar!$AB$5:$AB$126,MATCH(C71,İlanlar!$AA$5:$AA$126,0))</f>
        <v>B – Başvur (Almanca gerekli)</v>
      </c>
      <c r="I71" s="18" t="str">
        <f aca="false">HYPERLINK(INDEX(İlanlar!$N$5:$N$126,MATCH(C71,İlanlar!$AA$5:$AA$126,0)),"ilanı aç")</f>
        <v>ilanı aç</v>
      </c>
    </row>
    <row r="72" customFormat="false" ht="25.5" hidden="false" customHeight="true" outlineLevel="0" collapsed="false">
      <c r="B72" s="15" t="str">
        <f aca="false">INDEX(İlanlar!$B$5:$B$126,MATCH(C72,İlanlar!$AA$5:$AA$126,0))</f>
        <v>SPAR ICS – Information &amp; Communication Services</v>
      </c>
      <c r="C72" s="16" t="n">
        <v>24</v>
      </c>
      <c r="D72" s="15" t="str">
        <f aca="false">INDEX(İlanlar!$C$5:$C$126,MATCH(C72,İlanlar!$AA$5:$AA$126,0))</f>
        <v>Product Lead IT Network (m/w/d)</v>
      </c>
      <c r="E72" s="15" t="str">
        <f aca="false">INDEX(İlanlar!$D$5:$D$126,MATCH(C72,İlanlar!$AA$5:$AA$126,0))</f>
        <v>Wien, Salzburg (Stadt)</v>
      </c>
      <c r="F72" s="15" t="str">
        <f aca="false">INDEX(İlanlar!$G$5:$G$126,MATCH(C72,İlanlar!$AA$5:$AA$126,0))</f>
        <v>DE C1</v>
      </c>
      <c r="G72" s="17" t="n">
        <f aca="false">INDEX(İlanlar!$Z$5:$Z$126,MATCH(C72,İlanlar!$AA$5:$AA$126,0))</f>
        <v>0.72</v>
      </c>
      <c r="H72" s="15" t="str">
        <f aca="false">INDEX(İlanlar!$AB$5:$AB$126,MATCH(C72,İlanlar!$AA$5:$AA$126,0))</f>
        <v>B – Başvur (Almanca gerekli)</v>
      </c>
      <c r="I72" s="18" t="str">
        <f aca="false">HYPERLINK(INDEX(İlanlar!$N$5:$N$126,MATCH(C72,İlanlar!$AA$5:$AA$126,0)),"ilanı aç")</f>
        <v>ilanı aç</v>
      </c>
    </row>
    <row r="73" customFormat="false" ht="25.5" hidden="false" customHeight="true" outlineLevel="0" collapsed="false">
      <c r="B73" s="15" t="str">
        <f aca="false">INDEX(İlanlar!$B$5:$B$126,MATCH(C73,İlanlar!$AA$5:$AA$126,0))</f>
        <v>Deloitte</v>
      </c>
      <c r="C73" s="16" t="n">
        <v>25</v>
      </c>
      <c r="D73" s="15" t="str">
        <f aca="false">INDEX(İlanlar!$C$5:$C$126,MATCH(C73,İlanlar!$AA$5:$AA$126,0))</f>
        <v>(Senior) Manager ServiceNow Architekt (all genders)</v>
      </c>
      <c r="E73" s="15" t="str">
        <f aca="false">INDEX(İlanlar!$D$5:$D$126,MATCH(C73,İlanlar!$AA$5:$AA$126,0))</f>
        <v>Salzburg, Salzburg, Austria</v>
      </c>
      <c r="F73" s="15" t="str">
        <f aca="false">INDEX(İlanlar!$G$5:$G$126,MATCH(C73,İlanlar!$AA$5:$AA$126,0))</f>
        <v>DE+EN</v>
      </c>
      <c r="G73" s="17" t="n">
        <f aca="false">INDEX(İlanlar!$Z$5:$Z$126,MATCH(C73,İlanlar!$AA$5:$AA$126,0))</f>
        <v>0.71</v>
      </c>
      <c r="H73" s="15" t="str">
        <f aca="false">INDEX(İlanlar!$AB$5:$AB$126,MATCH(C73,İlanlar!$AA$5:$AA$126,0))</f>
        <v>B – Başvur (Almanca gerekli)</v>
      </c>
      <c r="I73" s="18" t="str">
        <f aca="false">HYPERLINK(INDEX(İlanlar!$N$5:$N$126,MATCH(C73,İlanlar!$AA$5:$AA$126,0)),"ilanı aç")</f>
        <v>ilanı aç</v>
      </c>
    </row>
    <row r="74" customFormat="false" ht="25.5" hidden="false" customHeight="true" outlineLevel="0" collapsed="false">
      <c r="B74" s="15" t="str">
        <f aca="false">INDEX(İlanlar!$B$5:$B$126,MATCH(C74,İlanlar!$AA$5:$AA$126,0))</f>
        <v>ReqPOOL GmbH</v>
      </c>
      <c r="C74" s="16" t="n">
        <v>26</v>
      </c>
      <c r="D74" s="15" t="str">
        <f aca="false">INDEX(İlanlar!$C$5:$C$126,MATCH(C74,İlanlar!$AA$5:$AA$126,0))</f>
        <v>Projektmanager Beratung mit PO-Erfahrung für Software &amp; Digitalisierung (m/w/d) im Bereich Energy</v>
      </c>
      <c r="E74" s="15" t="str">
        <f aca="false">INDEX(İlanlar!$D$5:$D$126,MATCH(C74,İlanlar!$AA$5:$AA$126,0))</f>
        <v>Linz, Wien, Salzburg (Stadt)</v>
      </c>
      <c r="F74" s="15" t="str">
        <f aca="false">INDEX(İlanlar!$G$5:$G$126,MATCH(C74,İlanlar!$AA$5:$AA$126,0))</f>
        <v>DE C1</v>
      </c>
      <c r="G74" s="17" t="n">
        <f aca="false">INDEX(İlanlar!$Z$5:$Z$126,MATCH(C74,İlanlar!$AA$5:$AA$126,0))</f>
        <v>0.71</v>
      </c>
      <c r="H74" s="15" t="str">
        <f aca="false">INDEX(İlanlar!$AB$5:$AB$126,MATCH(C74,İlanlar!$AA$5:$AA$126,0))</f>
        <v>B – Başvur (Almanca gerekli)</v>
      </c>
      <c r="I74" s="18" t="str">
        <f aca="false">HYPERLINK(INDEX(İlanlar!$N$5:$N$126,MATCH(C74,İlanlar!$AA$5:$AA$126,0)),"ilanı aç")</f>
        <v>ilanı aç</v>
      </c>
    </row>
    <row r="75" customFormat="false" ht="25.5" hidden="false" customHeight="true" outlineLevel="0" collapsed="false">
      <c r="B75" s="15" t="str">
        <f aca="false">INDEX(İlanlar!$B$5:$B$126,MATCH(C75,İlanlar!$AA$5:$AA$126,0))</f>
        <v>KTM AG</v>
      </c>
      <c r="C75" s="16" t="n">
        <v>27</v>
      </c>
      <c r="D75" s="15" t="str">
        <f aca="false">INDEX(İlanlar!$C$5:$C$126,MATCH(C75,İlanlar!$AA$5:$AA$126,0))</f>
        <v>Head of IT Infrastructure &amp; Operations*</v>
      </c>
      <c r="E75" s="15" t="str">
        <f aca="false">INDEX(İlanlar!$D$5:$D$126,MATCH(C75,İlanlar!$AA$5:$AA$126,0))</f>
        <v>Mattighofen</v>
      </c>
      <c r="F75" s="15" t="str">
        <f aca="false">INDEX(İlanlar!$G$5:$G$126,MATCH(C75,İlanlar!$AA$5:$AA$126,0))</f>
        <v>DE</v>
      </c>
      <c r="G75" s="17" t="n">
        <f aca="false">INDEX(İlanlar!$Z$5:$Z$126,MATCH(C75,İlanlar!$AA$5:$AA$126,0))</f>
        <v>0.71</v>
      </c>
      <c r="H75" s="15" t="str">
        <f aca="false">INDEX(İlanlar!$AB$5:$AB$126,MATCH(C75,İlanlar!$AA$5:$AA$126,0))</f>
        <v>B – Başvur (Almanca gerekli)</v>
      </c>
      <c r="I75" s="18" t="str">
        <f aca="false">HYPERLINK(INDEX(İlanlar!$N$5:$N$126,MATCH(C75,İlanlar!$AA$5:$AA$126,0)),"ilanı aç")</f>
        <v>ilanı aç</v>
      </c>
    </row>
    <row r="76" customFormat="false" ht="25.5" hidden="false" customHeight="true" outlineLevel="0" collapsed="false">
      <c r="B76" s="15" t="str">
        <f aca="false">INDEX(İlanlar!$B$5:$B$126,MATCH(C76,İlanlar!$AA$5:$AA$126,0))</f>
        <v>ACP Gruppe</v>
      </c>
      <c r="C76" s="16" t="n">
        <v>28</v>
      </c>
      <c r="D76" s="15" t="str">
        <f aca="false">INDEX(İlanlar!$C$5:$C$126,MATCH(C76,İlanlar!$AA$5:$AA$126,0))</f>
        <v>Senior Operations Engineer m, w, d</v>
      </c>
      <c r="E76" s="15" t="str">
        <f aca="false">INDEX(İlanlar!$D$5:$D$126,MATCH(C76,İlanlar!$AA$5:$AA$126,0))</f>
        <v>Salzburg</v>
      </c>
      <c r="F76" s="15" t="str">
        <f aca="false">INDEX(İlanlar!$G$5:$G$126,MATCH(C76,İlanlar!$AA$5:$AA$126,0))</f>
        <v>DE</v>
      </c>
      <c r="G76" s="17" t="n">
        <f aca="false">INDEX(İlanlar!$Z$5:$Z$126,MATCH(C76,İlanlar!$AA$5:$AA$126,0))</f>
        <v>0.695</v>
      </c>
      <c r="H76" s="15" t="str">
        <f aca="false">INDEX(İlanlar!$AB$5:$AB$126,MATCH(C76,İlanlar!$AA$5:$AA$126,0))</f>
        <v>C – Opsiyonel</v>
      </c>
      <c r="I76" s="18" t="str">
        <f aca="false">HYPERLINK(INDEX(İlanlar!$N$5:$N$126,MATCH(C76,İlanlar!$AA$5:$AA$126,0)),"ilanı aç")</f>
        <v>ilanı aç</v>
      </c>
    </row>
    <row r="77" customFormat="false" ht="25.5" hidden="false" customHeight="true" outlineLevel="0" collapsed="false">
      <c r="B77" s="15" t="str">
        <f aca="false">INDEX(İlanlar!$B$5:$B$126,MATCH(C77,İlanlar!$AA$5:$AA$126,0))</f>
        <v>Senoplast Klepsch &amp; Co GmbH</v>
      </c>
      <c r="C77" s="16" t="n">
        <v>29</v>
      </c>
      <c r="D77" s="15" t="str">
        <f aca="false">INDEX(İlanlar!$C$5:$C$126,MATCH(C77,İlanlar!$AA$5:$AA$126,0))</f>
        <v>IT Operations &amp; Security Manager (m/w/d)</v>
      </c>
      <c r="E77" s="15" t="str">
        <f aca="false">INDEX(İlanlar!$D$5:$D$126,MATCH(C77,İlanlar!$AA$5:$AA$126,0))</f>
        <v>Piesendorf</v>
      </c>
      <c r="F77" s="15" t="str">
        <f aca="false">INDEX(İlanlar!$G$5:$G$126,MATCH(C77,İlanlar!$AA$5:$AA$126,0))</f>
        <v>DE</v>
      </c>
      <c r="G77" s="17" t="n">
        <f aca="false">INDEX(İlanlar!$Z$5:$Z$126,MATCH(C77,İlanlar!$AA$5:$AA$126,0))</f>
        <v>0.69</v>
      </c>
      <c r="H77" s="15" t="str">
        <f aca="false">INDEX(İlanlar!$AB$5:$AB$126,MATCH(C77,İlanlar!$AA$5:$AA$126,0))</f>
        <v>C – Opsiyonel</v>
      </c>
      <c r="I77" s="18" t="str">
        <f aca="false">HYPERLINK(INDEX(İlanlar!$N$5:$N$126,MATCH(C77,İlanlar!$AA$5:$AA$126,0)),"ilanı aç")</f>
        <v>ilanı aç</v>
      </c>
    </row>
    <row r="78" customFormat="false" ht="25.5" hidden="false" customHeight="true" outlineLevel="0" collapsed="false">
      <c r="B78" s="15" t="str">
        <f aca="false">INDEX(İlanlar!$B$5:$B$126,MATCH(C78,İlanlar!$AA$5:$AA$126,0))</f>
        <v>Arvai Plastics GmbH &amp; CoKG</v>
      </c>
      <c r="C78" s="16" t="n">
        <v>30</v>
      </c>
      <c r="D78" s="15" t="str">
        <f aca="false">INDEX(İlanlar!$C$5:$C$126,MATCH(C78,İlanlar!$AA$5:$AA$126,0))</f>
        <v>IT-Systemadministrator (m/w/d)</v>
      </c>
      <c r="E78" s="15" t="str">
        <f aca="false">INDEX(İlanlar!$D$5:$D$126,MATCH(C78,İlanlar!$AA$5:$AA$126,0))</f>
        <v>Neumarkt am Wallersee</v>
      </c>
      <c r="F78" s="15" t="str">
        <f aca="false">INDEX(İlanlar!$G$5:$G$126,MATCH(C78,İlanlar!$AA$5:$AA$126,0))</f>
        <v>DE+EN</v>
      </c>
      <c r="G78" s="17" t="n">
        <f aca="false">INDEX(İlanlar!$Z$5:$Z$126,MATCH(C78,İlanlar!$AA$5:$AA$126,0))</f>
        <v>0.69</v>
      </c>
      <c r="H78" s="15" t="str">
        <f aca="false">INDEX(İlanlar!$AB$5:$AB$126,MATCH(C78,İlanlar!$AA$5:$AA$126,0))</f>
        <v>C – Opsiyonel</v>
      </c>
      <c r="I78" s="18" t="str">
        <f aca="false">HYPERLINK(INDEX(İlanlar!$N$5:$N$126,MATCH(C78,İlanlar!$AA$5:$AA$126,0)),"ilanı aç")</f>
        <v>ilanı aç</v>
      </c>
    </row>
    <row r="80" customFormat="false" ht="15" hidden="false" customHeight="false" outlineLevel="0" collapsed="false">
      <c r="B80" s="3" t="s">
        <v>81</v>
      </c>
    </row>
    <row r="81" customFormat="false" ht="45.75" hidden="false" customHeight="true" outlineLevel="0" collapsed="false">
      <c r="B81" s="5" t="s">
        <v>82</v>
      </c>
      <c r="C81" s="5"/>
      <c r="D81" s="5"/>
      <c r="E81" s="5"/>
      <c r="F81" s="5"/>
      <c r="G81" s="5"/>
      <c r="H81" s="5"/>
      <c r="I81" s="5"/>
    </row>
    <row r="82" customFormat="false" ht="45.75" hidden="false" customHeight="true" outlineLevel="0" collapsed="false">
      <c r="B82" s="5" t="s">
        <v>83</v>
      </c>
      <c r="C82" s="5"/>
      <c r="D82" s="5"/>
      <c r="E82" s="5"/>
      <c r="F82" s="5"/>
      <c r="G82" s="5"/>
      <c r="H82" s="5"/>
      <c r="I82" s="5"/>
    </row>
    <row r="83" customFormat="false" ht="45.75" hidden="false" customHeight="true" outlineLevel="0" collapsed="false">
      <c r="B83" s="5" t="s">
        <v>84</v>
      </c>
      <c r="C83" s="5"/>
      <c r="D83" s="5"/>
      <c r="E83" s="5"/>
      <c r="F83" s="5"/>
      <c r="G83" s="5"/>
      <c r="H83" s="5"/>
      <c r="I83" s="5"/>
    </row>
    <row r="84" customFormat="false" ht="45.75" hidden="false" customHeight="true" outlineLevel="0" collapsed="false">
      <c r="B84" s="5" t="s">
        <v>85</v>
      </c>
      <c r="C84" s="5"/>
      <c r="D84" s="5"/>
      <c r="E84" s="5"/>
      <c r="F84" s="5"/>
      <c r="G84" s="5"/>
      <c r="H84" s="5"/>
      <c r="I84" s="5"/>
    </row>
    <row r="85" customFormat="false" ht="45.75" hidden="false" customHeight="true" outlineLevel="0" collapsed="false">
      <c r="B85" s="5" t="s">
        <v>86</v>
      </c>
      <c r="C85" s="5"/>
      <c r="D85" s="5"/>
      <c r="E85" s="5"/>
      <c r="F85" s="5"/>
      <c r="G85" s="5"/>
      <c r="H85" s="5"/>
      <c r="I85" s="5"/>
    </row>
    <row r="86" customFormat="false" ht="45.75" hidden="false" customHeight="true" outlineLevel="0" collapsed="false">
      <c r="B86" s="5" t="s">
        <v>87</v>
      </c>
      <c r="C86" s="5"/>
      <c r="D86" s="5"/>
      <c r="E86" s="5"/>
      <c r="F86" s="5"/>
      <c r="G86" s="5"/>
      <c r="H86" s="5"/>
      <c r="I86" s="5"/>
    </row>
    <row r="87" customFormat="false" ht="45.75" hidden="false" customHeight="true" outlineLevel="0" collapsed="false">
      <c r="B87" s="5" t="s">
        <v>88</v>
      </c>
      <c r="C87" s="5"/>
      <c r="D87" s="5"/>
      <c r="E87" s="5"/>
      <c r="F87" s="5"/>
      <c r="G87" s="5"/>
      <c r="H87" s="5"/>
      <c r="I87" s="5"/>
    </row>
  </sheetData>
  <mergeCells count="27">
    <mergeCell ref="C5:I5"/>
    <mergeCell ref="C6:I6"/>
    <mergeCell ref="C7:I7"/>
    <mergeCell ref="C8:I8"/>
    <mergeCell ref="C9:I9"/>
    <mergeCell ref="C10:I10"/>
    <mergeCell ref="D14:I14"/>
    <mergeCell ref="D15:I15"/>
    <mergeCell ref="D16:I16"/>
    <mergeCell ref="D17:I17"/>
    <mergeCell ref="D18:I18"/>
    <mergeCell ref="D19:I19"/>
    <mergeCell ref="D24:I24"/>
    <mergeCell ref="D25:I25"/>
    <mergeCell ref="D26:I26"/>
    <mergeCell ref="D27:I27"/>
    <mergeCell ref="D28:I28"/>
    <mergeCell ref="D29:I29"/>
    <mergeCell ref="D30:I30"/>
    <mergeCell ref="D31:I31"/>
    <mergeCell ref="B81:I81"/>
    <mergeCell ref="B82:I82"/>
    <mergeCell ref="B83:I83"/>
    <mergeCell ref="B84:I84"/>
    <mergeCell ref="B85:I85"/>
    <mergeCell ref="B86:I86"/>
    <mergeCell ref="B87:I87"/>
  </mergeCells>
  <conditionalFormatting sqref="G49:G78">
    <cfRule type="colorScale" priority="2">
      <colorScale>
        <cfvo type="num" val="0.5"/>
        <cfvo type="num" val="0.7"/>
        <cfvo type="num" val="0.9"/>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8"/>
    <col collapsed="false" customWidth="true" hidden="false" outlineLevel="0" max="4" min="4" style="0" width="22"/>
    <col collapsed="false" customWidth="true" hidden="false" outlineLevel="0" max="5" min="5" style="0" width="14"/>
    <col collapsed="false" customWidth="true" hidden="false" outlineLevel="0" max="6" min="6" style="0" width="22"/>
    <col collapsed="false" customWidth="true" hidden="false" outlineLevel="0" max="7" min="7" style="0" width="12"/>
    <col collapsed="false" customWidth="true" hidden="false" outlineLevel="0" max="8" min="8" style="0" width="40"/>
    <col collapsed="false" customWidth="true" hidden="false" outlineLevel="0" max="9" min="9" style="0" width="9"/>
    <col collapsed="false" customWidth="true" hidden="false" outlineLevel="0" max="10" min="10" style="0" width="16"/>
    <col collapsed="false" customWidth="true" hidden="false" outlineLevel="0" max="11" min="11" style="0" width="24"/>
    <col collapsed="false" customWidth="true" hidden="false" outlineLevel="0" max="12" min="12" style="0" width="12"/>
    <col collapsed="false" customWidth="true" hidden="false" outlineLevel="0" max="13" min="13" style="0" width="11"/>
    <col collapsed="false" customWidth="true" hidden="false" outlineLevel="0" max="14" min="14" style="0" width="30"/>
    <col collapsed="false" customWidth="true" hidden="false" outlineLevel="0" max="15" min="15" style="0" width="16"/>
    <col collapsed="false" customWidth="true" hidden="false" outlineLevel="0" max="16" min="16" style="0" width="30"/>
    <col collapsed="false" customWidth="true" hidden="false" outlineLevel="0" max="17" min="17" style="0" width="55"/>
    <col collapsed="false" customWidth="true" hidden="false" outlineLevel="0" max="18" min="18" style="0" width="38"/>
    <col collapsed="false" customWidth="true" hidden="false" outlineLevel="0" max="19" min="19" style="0" width="34"/>
    <col collapsed="false" customWidth="true" hidden="false" outlineLevel="0" max="25" min="20" style="0" width="7"/>
    <col collapsed="false" customWidth="true" hidden="false" outlineLevel="0" max="26" min="26" style="0" width="8"/>
    <col collapsed="false" customWidth="true" hidden="false" outlineLevel="0" max="27" min="27" style="0" width="6"/>
    <col collapsed="false" customWidth="true" hidden="false" outlineLevel="0" max="28" min="28" style="0" width="24"/>
    <col collapsed="false" customWidth="true" hidden="false" outlineLevel="0" max="29" min="29" style="0" width="40"/>
    <col collapsed="false" customWidth="true" hidden="false" outlineLevel="0" max="30" min="30" style="0" width="30"/>
    <col collapsed="false" customWidth="true" hidden="false" outlineLevel="0" max="31" min="31" style="0" width="12"/>
  </cols>
  <sheetData>
    <row r="1" customFormat="false" ht="17.35" hidden="false" customHeight="false" outlineLevel="0" collapsed="false">
      <c r="A1" s="19" t="s">
        <v>89</v>
      </c>
    </row>
    <row r="2" customFormat="false" ht="15" hidden="false" customHeight="false" outlineLevel="0" collapsed="false">
      <c r="A2" s="2" t="s">
        <v>90</v>
      </c>
    </row>
    <row r="3" customFormat="false" ht="15" hidden="false" customHeight="false" outlineLevel="0" collapsed="false">
      <c r="T3" s="20" t="s">
        <v>91</v>
      </c>
      <c r="U3" s="20"/>
      <c r="V3" s="20"/>
      <c r="W3" s="20"/>
      <c r="X3" s="20"/>
      <c r="Y3" s="20"/>
    </row>
    <row r="4" customFormat="false" ht="31.5" hidden="false" customHeight="true" outlineLevel="0" collapsed="false">
      <c r="A4" s="21" t="s">
        <v>92</v>
      </c>
      <c r="B4" s="21" t="s">
        <v>73</v>
      </c>
      <c r="C4" s="21" t="s">
        <v>75</v>
      </c>
      <c r="D4" s="21" t="s">
        <v>76</v>
      </c>
      <c r="E4" s="21" t="s">
        <v>93</v>
      </c>
      <c r="F4" s="21" t="s">
        <v>94</v>
      </c>
      <c r="G4" s="21" t="s">
        <v>95</v>
      </c>
      <c r="H4" s="21" t="s">
        <v>96</v>
      </c>
      <c r="I4" s="21" t="s">
        <v>55</v>
      </c>
      <c r="J4" s="21" t="s">
        <v>97</v>
      </c>
      <c r="K4" s="21" t="s">
        <v>98</v>
      </c>
      <c r="L4" s="21" t="s">
        <v>99</v>
      </c>
      <c r="M4" s="21" t="s">
        <v>100</v>
      </c>
      <c r="N4" s="21" t="s">
        <v>101</v>
      </c>
      <c r="O4" s="21" t="s">
        <v>102</v>
      </c>
      <c r="P4" s="21" t="s">
        <v>103</v>
      </c>
      <c r="Q4" s="21" t="s">
        <v>104</v>
      </c>
      <c r="R4" s="21" t="s">
        <v>105</v>
      </c>
      <c r="S4" s="21" t="s">
        <v>106</v>
      </c>
      <c r="T4" s="21" t="s">
        <v>107</v>
      </c>
      <c r="U4" s="21" t="s">
        <v>5</v>
      </c>
      <c r="V4" s="21" t="s">
        <v>77</v>
      </c>
      <c r="W4" s="21" t="s">
        <v>108</v>
      </c>
      <c r="X4" s="21" t="s">
        <v>76</v>
      </c>
      <c r="Y4" s="21" t="s">
        <v>109</v>
      </c>
      <c r="Z4" s="21" t="s">
        <v>78</v>
      </c>
      <c r="AA4" s="21" t="s">
        <v>74</v>
      </c>
      <c r="AB4" s="21" t="s">
        <v>79</v>
      </c>
      <c r="AC4" s="21" t="s">
        <v>110</v>
      </c>
      <c r="AD4" s="21" t="s">
        <v>111</v>
      </c>
      <c r="AE4" s="21" t="s">
        <v>112</v>
      </c>
    </row>
    <row r="5" customFormat="false" ht="75" hidden="false" customHeight="true" outlineLevel="0" collapsed="false">
      <c r="A5" s="22" t="n">
        <v>1</v>
      </c>
      <c r="B5" s="22" t="s">
        <v>113</v>
      </c>
      <c r="C5" s="22" t="s">
        <v>114</v>
      </c>
      <c r="D5" s="22" t="s">
        <v>115</v>
      </c>
      <c r="E5" s="22" t="s">
        <v>116</v>
      </c>
      <c r="F5" s="22" t="s">
        <v>117</v>
      </c>
      <c r="G5" s="22" t="s">
        <v>39</v>
      </c>
      <c r="H5" s="22" t="s">
        <v>118</v>
      </c>
      <c r="I5" s="22" t="s">
        <v>119</v>
      </c>
      <c r="J5" s="22" t="s">
        <v>120</v>
      </c>
      <c r="K5" s="22" t="s">
        <v>121</v>
      </c>
      <c r="L5" s="22" t="s">
        <v>122</v>
      </c>
      <c r="M5" s="22" t="s">
        <v>123</v>
      </c>
      <c r="N5" s="23" t="s">
        <v>124</v>
      </c>
      <c r="O5" s="22" t="s">
        <v>125</v>
      </c>
      <c r="P5" s="24" t="s">
        <v>126</v>
      </c>
      <c r="Q5" s="22" t="s">
        <v>127</v>
      </c>
      <c r="R5" s="22" t="s">
        <v>128</v>
      </c>
      <c r="S5" s="22" t="s">
        <v>129</v>
      </c>
      <c r="T5" s="25" t="n">
        <v>4</v>
      </c>
      <c r="U5" s="25" t="n">
        <v>5</v>
      </c>
      <c r="V5" s="25" t="n">
        <v>5</v>
      </c>
      <c r="W5" s="25" t="n">
        <v>5</v>
      </c>
      <c r="X5" s="25" t="n">
        <v>5</v>
      </c>
      <c r="Y5" s="25" t="n">
        <v>3.5</v>
      </c>
      <c r="Z5" s="26" t="n">
        <f aca="false">ROUND((T5*Özet!$C$14+U5*Özet!$C$15+V5*Özet!$C$16+W5*Özet!$C$17+X5*Özet!$C$18+Y5*Özet!$C$19)/5,4)</f>
        <v>0.91</v>
      </c>
      <c r="AA5" s="27" t="n">
        <f aca="false">RANK(AE5,$AE$5:$AE$126)+COUNTIF($AE$5:AE5,AE5)-1</f>
        <v>1</v>
      </c>
      <c r="AB5" s="28" t="str">
        <f aca="false">IF(AND(OR(G5="EN",G5="EN (+DE artı)"),Z5&gt;=0.7),"A – Hemen başvur (İngilizce)",IF(Z5&gt;=0.7,"B – Başvur (Almanca gerekli)",IF(AND(OR(G5="EN",G5="EN (+DE artı)"),Z5&gt;=0.6),"B – Başvur (İngilizce)","C – Opsiyonel")))</f>
        <v>A – Hemen başvur (İngilizce)</v>
      </c>
      <c r="AC5" s="22" t="s">
        <v>130</v>
      </c>
      <c r="AD5" s="24" t="s">
        <v>131</v>
      </c>
      <c r="AE5" s="29" t="n">
        <f aca="false">Z5+IF(OR(G5="EN",G5="EN (+DE artı)"),1,0)</f>
        <v>1.91</v>
      </c>
    </row>
    <row r="6" customFormat="false" ht="75" hidden="false" customHeight="true" outlineLevel="0" collapsed="false">
      <c r="A6" s="22" t="n">
        <v>2</v>
      </c>
      <c r="B6" s="22" t="s">
        <v>132</v>
      </c>
      <c r="C6" s="22" t="s">
        <v>133</v>
      </c>
      <c r="D6" s="22" t="s">
        <v>134</v>
      </c>
      <c r="E6" s="22" t="s">
        <v>116</v>
      </c>
      <c r="F6" s="22" t="s">
        <v>117</v>
      </c>
      <c r="G6" s="22" t="s">
        <v>36</v>
      </c>
      <c r="H6" s="22" t="s">
        <v>135</v>
      </c>
      <c r="I6" s="22" t="s">
        <v>119</v>
      </c>
      <c r="J6" s="22" t="s">
        <v>120</v>
      </c>
      <c r="K6" s="22" t="s">
        <v>136</v>
      </c>
      <c r="L6" s="22" t="s">
        <v>137</v>
      </c>
      <c r="M6" s="22" t="s">
        <v>138</v>
      </c>
      <c r="N6" s="23" t="s">
        <v>139</v>
      </c>
      <c r="O6" s="22" t="s">
        <v>125</v>
      </c>
      <c r="P6" s="24" t="s">
        <v>140</v>
      </c>
      <c r="Q6" s="22" t="s">
        <v>141</v>
      </c>
      <c r="R6" s="22" t="s">
        <v>142</v>
      </c>
      <c r="S6" s="22" t="s">
        <v>143</v>
      </c>
      <c r="T6" s="25" t="n">
        <v>3.5</v>
      </c>
      <c r="U6" s="25" t="n">
        <v>5</v>
      </c>
      <c r="V6" s="25" t="n">
        <v>5</v>
      </c>
      <c r="W6" s="25" t="n">
        <v>4</v>
      </c>
      <c r="X6" s="25" t="n">
        <v>5</v>
      </c>
      <c r="Y6" s="25" t="n">
        <v>3.5</v>
      </c>
      <c r="Z6" s="26" t="n">
        <f aca="false">ROUND((T6*Özet!$C$14+U6*Özet!$C$15+V6*Özet!$C$16+W6*Özet!$C$17+X6*Özet!$C$18+Y6*Özet!$C$19)/5,4)</f>
        <v>0.87</v>
      </c>
      <c r="AA6" s="27" t="n">
        <f aca="false">RANK(AE6,$AE$5:$AE$126)+COUNTIF($AE$5:AE6,AE6)-1</f>
        <v>2</v>
      </c>
      <c r="AB6" s="28" t="str">
        <f aca="false">IF(AND(OR(G6="EN",G6="EN (+DE artı)"),Z6&gt;=0.7),"A – Hemen başvur (İngilizce)",IF(Z6&gt;=0.7,"B – Başvur (Almanca gerekli)",IF(AND(OR(G6="EN",G6="EN (+DE artı)"),Z6&gt;=0.6),"B – Başvur (İngilizce)","C – Opsiyonel")))</f>
        <v>A – Hemen başvur (İngilizce)</v>
      </c>
      <c r="AC6" s="22" t="s">
        <v>130</v>
      </c>
      <c r="AD6" s="24" t="s">
        <v>144</v>
      </c>
      <c r="AE6" s="29" t="n">
        <f aca="false">Z6+IF(OR(G6="EN",G6="EN (+DE artı)"),1,0)</f>
        <v>1.87</v>
      </c>
    </row>
    <row r="7" customFormat="false" ht="75" hidden="false" customHeight="true" outlineLevel="0" collapsed="false">
      <c r="A7" s="22" t="n">
        <v>3</v>
      </c>
      <c r="B7" s="22" t="s">
        <v>113</v>
      </c>
      <c r="C7" s="22" t="s">
        <v>145</v>
      </c>
      <c r="D7" s="22" t="s">
        <v>115</v>
      </c>
      <c r="E7" s="22" t="s">
        <v>116</v>
      </c>
      <c r="F7" s="22" t="s">
        <v>117</v>
      </c>
      <c r="G7" s="22" t="s">
        <v>39</v>
      </c>
      <c r="H7" s="22" t="s">
        <v>146</v>
      </c>
      <c r="I7" s="22" t="s">
        <v>119</v>
      </c>
      <c r="J7" s="22" t="s">
        <v>120</v>
      </c>
      <c r="K7" s="22" t="s">
        <v>121</v>
      </c>
      <c r="L7" s="22" t="s">
        <v>147</v>
      </c>
      <c r="M7" s="22" t="s">
        <v>123</v>
      </c>
      <c r="N7" s="23" t="s">
        <v>148</v>
      </c>
      <c r="O7" s="22" t="s">
        <v>149</v>
      </c>
      <c r="P7" s="24" t="s">
        <v>150</v>
      </c>
      <c r="Q7" s="22" t="s">
        <v>151</v>
      </c>
      <c r="R7" s="22" t="s">
        <v>152</v>
      </c>
      <c r="S7" s="22" t="s">
        <v>153</v>
      </c>
      <c r="T7" s="25" t="n">
        <v>3</v>
      </c>
      <c r="U7" s="25" t="n">
        <v>5</v>
      </c>
      <c r="V7" s="25" t="n">
        <v>5</v>
      </c>
      <c r="W7" s="25" t="n">
        <v>5</v>
      </c>
      <c r="X7" s="25" t="n">
        <v>5</v>
      </c>
      <c r="Y7" s="25" t="n">
        <v>3.5</v>
      </c>
      <c r="Z7" s="26" t="n">
        <f aca="false">ROUND((T7*Özet!$C$14+U7*Özet!$C$15+V7*Özet!$C$16+W7*Özet!$C$17+X7*Özet!$C$18+Y7*Özet!$C$19)/5,4)</f>
        <v>0.85</v>
      </c>
      <c r="AA7" s="27" t="n">
        <f aca="false">RANK(AE7,$AE$5:$AE$126)+COUNTIF($AE$5:AE7,AE7)-1</f>
        <v>3</v>
      </c>
      <c r="AB7" s="28" t="str">
        <f aca="false">IF(AND(OR(G7="EN",G7="EN (+DE artı)"),Z7&gt;=0.7),"A – Hemen başvur (İngilizce)",IF(Z7&gt;=0.7,"B – Başvur (Almanca gerekli)",IF(AND(OR(G7="EN",G7="EN (+DE artı)"),Z7&gt;=0.6),"B – Başvur (İngilizce)","C – Opsiyonel")))</f>
        <v>A – Hemen başvur (İngilizce)</v>
      </c>
      <c r="AC7" s="22" t="s">
        <v>130</v>
      </c>
      <c r="AD7" s="24" t="s">
        <v>131</v>
      </c>
      <c r="AE7" s="29" t="n">
        <f aca="false">Z7+IF(OR(G7="EN",G7="EN (+DE artı)"),1,0)</f>
        <v>1.85</v>
      </c>
    </row>
    <row r="8" customFormat="false" ht="75" hidden="false" customHeight="true" outlineLevel="0" collapsed="false">
      <c r="A8" s="22" t="n">
        <v>4</v>
      </c>
      <c r="B8" s="22" t="s">
        <v>113</v>
      </c>
      <c r="C8" s="22" t="s">
        <v>154</v>
      </c>
      <c r="D8" s="22" t="s">
        <v>115</v>
      </c>
      <c r="E8" s="22" t="s">
        <v>116</v>
      </c>
      <c r="F8" s="22" t="s">
        <v>117</v>
      </c>
      <c r="G8" s="22" t="s">
        <v>36</v>
      </c>
      <c r="H8" s="22" t="s">
        <v>135</v>
      </c>
      <c r="I8" s="22" t="s">
        <v>119</v>
      </c>
      <c r="J8" s="22" t="s">
        <v>120</v>
      </c>
      <c r="K8" s="22" t="s">
        <v>121</v>
      </c>
      <c r="L8" s="22" t="s">
        <v>155</v>
      </c>
      <c r="M8" s="22" t="s">
        <v>123</v>
      </c>
      <c r="N8" s="23" t="s">
        <v>156</v>
      </c>
      <c r="O8" s="22" t="s">
        <v>149</v>
      </c>
      <c r="P8" s="24" t="s">
        <v>157</v>
      </c>
      <c r="Q8" s="22" t="s">
        <v>158</v>
      </c>
      <c r="R8" s="22" t="s">
        <v>159</v>
      </c>
      <c r="S8" s="22" t="s">
        <v>160</v>
      </c>
      <c r="T8" s="25" t="n">
        <v>3</v>
      </c>
      <c r="U8" s="25" t="n">
        <v>5</v>
      </c>
      <c r="V8" s="25" t="n">
        <v>5</v>
      </c>
      <c r="W8" s="25" t="n">
        <v>5</v>
      </c>
      <c r="X8" s="25" t="n">
        <v>5</v>
      </c>
      <c r="Y8" s="25" t="n">
        <v>3.5</v>
      </c>
      <c r="Z8" s="26" t="n">
        <f aca="false">ROUND((T8*Özet!$C$14+U8*Özet!$C$15+V8*Özet!$C$16+W8*Özet!$C$17+X8*Özet!$C$18+Y8*Özet!$C$19)/5,4)</f>
        <v>0.85</v>
      </c>
      <c r="AA8" s="27" t="n">
        <f aca="false">RANK(AE8,$AE$5:$AE$126)+COUNTIF($AE$5:AE8,AE8)-1</f>
        <v>4</v>
      </c>
      <c r="AB8" s="28" t="str">
        <f aca="false">IF(AND(OR(G8="EN",G8="EN (+DE artı)"),Z8&gt;=0.7),"A – Hemen başvur (İngilizce)",IF(Z8&gt;=0.7,"B – Başvur (Almanca gerekli)",IF(AND(OR(G8="EN",G8="EN (+DE artı)"),Z8&gt;=0.6),"B – Başvur (İngilizce)","C – Opsiyonel")))</f>
        <v>A – Hemen başvur (İngilizce)</v>
      </c>
      <c r="AC8" s="22" t="s">
        <v>130</v>
      </c>
      <c r="AD8" s="24" t="s">
        <v>131</v>
      </c>
      <c r="AE8" s="29" t="n">
        <f aca="false">Z8+IF(OR(G8="EN",G8="EN (+DE artı)"),1,0)</f>
        <v>1.85</v>
      </c>
    </row>
    <row r="9" customFormat="false" ht="75" hidden="false" customHeight="true" outlineLevel="0" collapsed="false">
      <c r="A9" s="22" t="n">
        <v>5</v>
      </c>
      <c r="B9" s="22" t="s">
        <v>113</v>
      </c>
      <c r="C9" s="22" t="s">
        <v>161</v>
      </c>
      <c r="D9" s="22" t="s">
        <v>115</v>
      </c>
      <c r="E9" s="22" t="s">
        <v>116</v>
      </c>
      <c r="F9" s="22" t="s">
        <v>162</v>
      </c>
      <c r="G9" s="22" t="s">
        <v>39</v>
      </c>
      <c r="H9" s="22" t="s">
        <v>163</v>
      </c>
      <c r="I9" s="22" t="s">
        <v>119</v>
      </c>
      <c r="J9" s="22" t="s">
        <v>120</v>
      </c>
      <c r="K9" s="22" t="s">
        <v>164</v>
      </c>
      <c r="L9" s="22" t="s">
        <v>155</v>
      </c>
      <c r="M9" s="22" t="s">
        <v>123</v>
      </c>
      <c r="N9" s="23" t="s">
        <v>165</v>
      </c>
      <c r="O9" s="22" t="s">
        <v>149</v>
      </c>
      <c r="P9" s="24" t="s">
        <v>166</v>
      </c>
      <c r="Q9" s="22" t="s">
        <v>167</v>
      </c>
      <c r="R9" s="22" t="s">
        <v>168</v>
      </c>
      <c r="S9" s="22" t="s">
        <v>169</v>
      </c>
      <c r="T9" s="25" t="n">
        <v>3</v>
      </c>
      <c r="U9" s="25" t="n">
        <v>5</v>
      </c>
      <c r="V9" s="25" t="n">
        <v>5</v>
      </c>
      <c r="W9" s="25" t="n">
        <v>5</v>
      </c>
      <c r="X9" s="25" t="n">
        <v>5</v>
      </c>
      <c r="Y9" s="25" t="n">
        <v>3.5</v>
      </c>
      <c r="Z9" s="26" t="n">
        <f aca="false">ROUND((T9*Özet!$C$14+U9*Özet!$C$15+V9*Özet!$C$16+W9*Özet!$C$17+X9*Özet!$C$18+Y9*Özet!$C$19)/5,4)</f>
        <v>0.85</v>
      </c>
      <c r="AA9" s="27" t="n">
        <f aca="false">RANK(AE9,$AE$5:$AE$126)+COUNTIF($AE$5:AE9,AE9)-1</f>
        <v>5</v>
      </c>
      <c r="AB9" s="28" t="str">
        <f aca="false">IF(AND(OR(G9="EN",G9="EN (+DE artı)"),Z9&gt;=0.7),"A – Hemen başvur (İngilizce)",IF(Z9&gt;=0.7,"B – Başvur (Almanca gerekli)",IF(AND(OR(G9="EN",G9="EN (+DE artı)"),Z9&gt;=0.6),"B – Başvur (İngilizce)","C – Opsiyonel")))</f>
        <v>A – Hemen başvur (İngilizce)</v>
      </c>
      <c r="AC9" s="22" t="s">
        <v>130</v>
      </c>
      <c r="AD9" s="24" t="s">
        <v>131</v>
      </c>
      <c r="AE9" s="29" t="n">
        <f aca="false">Z9+IF(OR(G9="EN",G9="EN (+DE artı)"),1,0)</f>
        <v>1.85</v>
      </c>
    </row>
    <row r="10" customFormat="false" ht="75" hidden="false" customHeight="true" outlineLevel="0" collapsed="false">
      <c r="A10" s="22" t="n">
        <v>6</v>
      </c>
      <c r="B10" s="22" t="s">
        <v>113</v>
      </c>
      <c r="C10" s="22" t="s">
        <v>170</v>
      </c>
      <c r="D10" s="22" t="s">
        <v>115</v>
      </c>
      <c r="E10" s="22" t="s">
        <v>116</v>
      </c>
      <c r="F10" s="22" t="s">
        <v>171</v>
      </c>
      <c r="G10" s="22" t="s">
        <v>39</v>
      </c>
      <c r="H10" s="22" t="s">
        <v>172</v>
      </c>
      <c r="I10" s="22" t="s">
        <v>119</v>
      </c>
      <c r="J10" s="22" t="s">
        <v>120</v>
      </c>
      <c r="K10" s="22" t="s">
        <v>173</v>
      </c>
      <c r="L10" s="22" t="s">
        <v>147</v>
      </c>
      <c r="M10" s="22" t="s">
        <v>123</v>
      </c>
      <c r="N10" s="23" t="s">
        <v>174</v>
      </c>
      <c r="O10" s="22" t="s">
        <v>125</v>
      </c>
      <c r="P10" s="24" t="s">
        <v>175</v>
      </c>
      <c r="Q10" s="22" t="s">
        <v>176</v>
      </c>
      <c r="R10" s="22" t="s">
        <v>177</v>
      </c>
      <c r="S10" s="22" t="s">
        <v>178</v>
      </c>
      <c r="T10" s="25" t="n">
        <v>3</v>
      </c>
      <c r="U10" s="25" t="n">
        <v>5</v>
      </c>
      <c r="V10" s="25" t="n">
        <v>5</v>
      </c>
      <c r="W10" s="25" t="n">
        <v>5</v>
      </c>
      <c r="X10" s="25" t="n">
        <v>5</v>
      </c>
      <c r="Y10" s="25" t="n">
        <v>3.5</v>
      </c>
      <c r="Z10" s="26" t="n">
        <f aca="false">ROUND((T10*Özet!$C$14+U10*Özet!$C$15+V10*Özet!$C$16+W10*Özet!$C$17+X10*Özet!$C$18+Y10*Özet!$C$19)/5,4)</f>
        <v>0.85</v>
      </c>
      <c r="AA10" s="27" t="n">
        <f aca="false">RANK(AE10,$AE$5:$AE$126)+COUNTIF($AE$5:AE10,AE10)-1</f>
        <v>6</v>
      </c>
      <c r="AB10" s="28" t="str">
        <f aca="false">IF(AND(OR(G10="EN",G10="EN (+DE artı)"),Z10&gt;=0.7),"A – Hemen başvur (İngilizce)",IF(Z10&gt;=0.7,"B – Başvur (Almanca gerekli)",IF(AND(OR(G10="EN",G10="EN (+DE artı)"),Z10&gt;=0.6),"B – Başvur (İngilizce)","C – Opsiyonel")))</f>
        <v>A – Hemen başvur (İngilizce)</v>
      </c>
      <c r="AC10" s="22" t="s">
        <v>130</v>
      </c>
      <c r="AD10" s="24" t="s">
        <v>131</v>
      </c>
      <c r="AE10" s="29" t="n">
        <f aca="false">Z10+IF(OR(G10="EN",G10="EN (+DE artı)"),1,0)</f>
        <v>1.85</v>
      </c>
    </row>
    <row r="11" customFormat="false" ht="75" hidden="false" customHeight="true" outlineLevel="0" collapsed="false">
      <c r="A11" s="22" t="n">
        <v>7</v>
      </c>
      <c r="B11" s="22" t="s">
        <v>179</v>
      </c>
      <c r="C11" s="22" t="s">
        <v>180</v>
      </c>
      <c r="D11" s="22" t="s">
        <v>181</v>
      </c>
      <c r="E11" s="22" t="s">
        <v>116</v>
      </c>
      <c r="F11" s="22" t="s">
        <v>117</v>
      </c>
      <c r="G11" s="22" t="s">
        <v>36</v>
      </c>
      <c r="H11" s="22" t="s">
        <v>135</v>
      </c>
      <c r="I11" s="22" t="s">
        <v>119</v>
      </c>
      <c r="J11" s="22" t="s">
        <v>120</v>
      </c>
      <c r="K11" s="22" t="s">
        <v>136</v>
      </c>
      <c r="L11" s="22" t="s">
        <v>182</v>
      </c>
      <c r="M11" s="22" t="s">
        <v>183</v>
      </c>
      <c r="N11" s="23" t="s">
        <v>184</v>
      </c>
      <c r="O11" s="22" t="s">
        <v>125</v>
      </c>
      <c r="P11" s="22"/>
      <c r="Q11" s="22" t="s">
        <v>185</v>
      </c>
      <c r="R11" s="22" t="s">
        <v>186</v>
      </c>
      <c r="S11" s="22" t="s">
        <v>187</v>
      </c>
      <c r="T11" s="25" t="n">
        <v>3</v>
      </c>
      <c r="U11" s="25" t="n">
        <v>5</v>
      </c>
      <c r="V11" s="25" t="n">
        <v>5</v>
      </c>
      <c r="W11" s="25" t="n">
        <v>4</v>
      </c>
      <c r="X11" s="25" t="n">
        <v>5</v>
      </c>
      <c r="Y11" s="25" t="n">
        <v>3.5</v>
      </c>
      <c r="Z11" s="26" t="n">
        <f aca="false">ROUND((T11*Özet!$C$14+U11*Özet!$C$15+V11*Özet!$C$16+W11*Özet!$C$17+X11*Özet!$C$18+Y11*Özet!$C$19)/5,4)</f>
        <v>0.84</v>
      </c>
      <c r="AA11" s="27" t="n">
        <f aca="false">RANK(AE11,$AE$5:$AE$126)+COUNTIF($AE$5:AE11,AE11)-1</f>
        <v>7</v>
      </c>
      <c r="AB11" s="28" t="str">
        <f aca="false">IF(AND(OR(G11="EN",G11="EN (+DE artı)"),Z11&gt;=0.7),"A – Hemen başvur (İngilizce)",IF(Z11&gt;=0.7,"B – Başvur (Almanca gerekli)",IF(AND(OR(G11="EN",G11="EN (+DE artı)"),Z11&gt;=0.6),"B – Başvur (İngilizce)","C – Opsiyonel")))</f>
        <v>A – Hemen başvur (İngilizce)</v>
      </c>
      <c r="AC11" s="22" t="s">
        <v>130</v>
      </c>
      <c r="AD11" s="24" t="s">
        <v>188</v>
      </c>
      <c r="AE11" s="29" t="n">
        <f aca="false">Z11+IF(OR(G11="EN",G11="EN (+DE artı)"),1,0)</f>
        <v>1.84</v>
      </c>
    </row>
    <row r="12" customFormat="false" ht="75" hidden="false" customHeight="true" outlineLevel="0" collapsed="false">
      <c r="A12" s="22" t="n">
        <v>8</v>
      </c>
      <c r="B12" s="22" t="s">
        <v>113</v>
      </c>
      <c r="C12" s="22" t="s">
        <v>189</v>
      </c>
      <c r="D12" s="22" t="s">
        <v>115</v>
      </c>
      <c r="E12" s="22" t="s">
        <v>116</v>
      </c>
      <c r="F12" s="22" t="s">
        <v>117</v>
      </c>
      <c r="G12" s="22" t="s">
        <v>39</v>
      </c>
      <c r="H12" s="22" t="s">
        <v>190</v>
      </c>
      <c r="I12" s="22" t="s">
        <v>119</v>
      </c>
      <c r="J12" s="22" t="s">
        <v>120</v>
      </c>
      <c r="K12" s="22" t="s">
        <v>191</v>
      </c>
      <c r="L12" s="22" t="s">
        <v>182</v>
      </c>
      <c r="M12" s="22" t="s">
        <v>123</v>
      </c>
      <c r="N12" s="23" t="s">
        <v>192</v>
      </c>
      <c r="O12" s="22" t="s">
        <v>149</v>
      </c>
      <c r="P12" s="24" t="s">
        <v>193</v>
      </c>
      <c r="Q12" s="22" t="s">
        <v>194</v>
      </c>
      <c r="R12" s="22" t="s">
        <v>195</v>
      </c>
      <c r="S12" s="22" t="s">
        <v>196</v>
      </c>
      <c r="T12" s="25" t="n">
        <v>2.5</v>
      </c>
      <c r="U12" s="25" t="n">
        <v>5</v>
      </c>
      <c r="V12" s="25" t="n">
        <v>5</v>
      </c>
      <c r="W12" s="25" t="n">
        <v>5</v>
      </c>
      <c r="X12" s="25" t="n">
        <v>5</v>
      </c>
      <c r="Y12" s="25" t="n">
        <v>3.5</v>
      </c>
      <c r="Z12" s="26" t="n">
        <f aca="false">ROUND((T12*Özet!$C$14+U12*Özet!$C$15+V12*Özet!$C$16+W12*Özet!$C$17+X12*Özet!$C$18+Y12*Özet!$C$19)/5,4)</f>
        <v>0.82</v>
      </c>
      <c r="AA12" s="27" t="n">
        <f aca="false">RANK(AE12,$AE$5:$AE$126)+COUNTIF($AE$5:AE12,AE12)-1</f>
        <v>8</v>
      </c>
      <c r="AB12" s="28" t="str">
        <f aca="false">IF(AND(OR(G12="EN",G12="EN (+DE artı)"),Z12&gt;=0.7),"A – Hemen başvur (İngilizce)",IF(Z12&gt;=0.7,"B – Başvur (Almanca gerekli)",IF(AND(OR(G12="EN",G12="EN (+DE artı)"),Z12&gt;=0.6),"B – Başvur (İngilizce)","C – Opsiyonel")))</f>
        <v>A – Hemen başvur (İngilizce)</v>
      </c>
      <c r="AC12" s="22" t="s">
        <v>130</v>
      </c>
      <c r="AD12" s="24" t="s">
        <v>131</v>
      </c>
      <c r="AE12" s="29" t="n">
        <f aca="false">Z12+IF(OR(G12="EN",G12="EN (+DE artı)"),1,0)</f>
        <v>1.82</v>
      </c>
    </row>
    <row r="13" customFormat="false" ht="75" hidden="false" customHeight="true" outlineLevel="0" collapsed="false">
      <c r="A13" s="22" t="n">
        <v>9</v>
      </c>
      <c r="B13" s="22" t="s">
        <v>197</v>
      </c>
      <c r="C13" s="22" t="s">
        <v>198</v>
      </c>
      <c r="D13" s="22" t="s">
        <v>199</v>
      </c>
      <c r="E13" s="22" t="s">
        <v>200</v>
      </c>
      <c r="F13" s="22" t="s">
        <v>162</v>
      </c>
      <c r="G13" s="22" t="s">
        <v>36</v>
      </c>
      <c r="H13" s="22" t="s">
        <v>135</v>
      </c>
      <c r="I13" s="22" t="s">
        <v>119</v>
      </c>
      <c r="J13" s="22" t="s">
        <v>120</v>
      </c>
      <c r="K13" s="22" t="s">
        <v>136</v>
      </c>
      <c r="L13" s="22" t="s">
        <v>122</v>
      </c>
      <c r="M13" s="22" t="s">
        <v>183</v>
      </c>
      <c r="N13" s="23" t="s">
        <v>201</v>
      </c>
      <c r="O13" s="22" t="s">
        <v>125</v>
      </c>
      <c r="P13" s="22"/>
      <c r="Q13" s="22" t="s">
        <v>202</v>
      </c>
      <c r="R13" s="22" t="s">
        <v>203</v>
      </c>
      <c r="S13" s="22" t="s">
        <v>204</v>
      </c>
      <c r="T13" s="25" t="n">
        <v>3.5</v>
      </c>
      <c r="U13" s="25" t="n">
        <v>5</v>
      </c>
      <c r="V13" s="25" t="n">
        <v>5</v>
      </c>
      <c r="W13" s="25" t="n">
        <v>4</v>
      </c>
      <c r="X13" s="25" t="n">
        <v>2</v>
      </c>
      <c r="Y13" s="25" t="n">
        <v>3.5</v>
      </c>
      <c r="Z13" s="26" t="n">
        <f aca="false">ROUND((T13*Özet!$C$14+U13*Özet!$C$15+V13*Özet!$C$16+W13*Özet!$C$17+X13*Özet!$C$18+Y13*Özet!$C$19)/5,4)</f>
        <v>0.81</v>
      </c>
      <c r="AA13" s="27" t="n">
        <f aca="false">RANK(AE13,$AE$5:$AE$126)+COUNTIF($AE$5:AE13,AE13)-1</f>
        <v>9</v>
      </c>
      <c r="AB13" s="28" t="str">
        <f aca="false">IF(AND(OR(G13="EN",G13="EN (+DE artı)"),Z13&gt;=0.7),"A – Hemen başvur (İngilizce)",IF(Z13&gt;=0.7,"B – Başvur (Almanca gerekli)",IF(AND(OR(G13="EN",G13="EN (+DE artı)"),Z13&gt;=0.6),"B – Başvur (İngilizce)","C – Opsiyonel")))</f>
        <v>A – Hemen başvur (İngilizce)</v>
      </c>
      <c r="AC13" s="22" t="s">
        <v>205</v>
      </c>
      <c r="AD13" s="24" t="s">
        <v>206</v>
      </c>
      <c r="AE13" s="29" t="n">
        <f aca="false">Z13+IF(OR(G13="EN",G13="EN (+DE artı)"),1,0)</f>
        <v>1.81</v>
      </c>
    </row>
    <row r="14" customFormat="false" ht="75" hidden="false" customHeight="true" outlineLevel="0" collapsed="false">
      <c r="A14" s="22" t="n">
        <v>10</v>
      </c>
      <c r="B14" s="22" t="s">
        <v>207</v>
      </c>
      <c r="C14" s="22" t="s">
        <v>208</v>
      </c>
      <c r="D14" s="22" t="s">
        <v>209</v>
      </c>
      <c r="E14" s="22" t="s">
        <v>200</v>
      </c>
      <c r="F14" s="22" t="s">
        <v>210</v>
      </c>
      <c r="G14" s="22" t="s">
        <v>39</v>
      </c>
      <c r="H14" s="22" t="s">
        <v>211</v>
      </c>
      <c r="I14" s="22" t="s">
        <v>119</v>
      </c>
      <c r="J14" s="22" t="s">
        <v>212</v>
      </c>
      <c r="K14" s="22" t="s">
        <v>213</v>
      </c>
      <c r="L14" s="22" t="s">
        <v>214</v>
      </c>
      <c r="M14" s="22" t="s">
        <v>138</v>
      </c>
      <c r="N14" s="23" t="s">
        <v>215</v>
      </c>
      <c r="O14" s="22" t="s">
        <v>125</v>
      </c>
      <c r="P14" s="24" t="s">
        <v>216</v>
      </c>
      <c r="Q14" s="22" t="s">
        <v>217</v>
      </c>
      <c r="R14" s="22" t="s">
        <v>218</v>
      </c>
      <c r="S14" s="22" t="s">
        <v>219</v>
      </c>
      <c r="T14" s="25" t="n">
        <v>4.5</v>
      </c>
      <c r="U14" s="25" t="n">
        <v>3</v>
      </c>
      <c r="V14" s="25" t="n">
        <v>5</v>
      </c>
      <c r="W14" s="25" t="n">
        <v>3.5</v>
      </c>
      <c r="X14" s="25" t="n">
        <v>2</v>
      </c>
      <c r="Y14" s="25" t="n">
        <v>3.5</v>
      </c>
      <c r="Z14" s="26" t="n">
        <f aca="false">ROUND((T14*Özet!$C$14+U14*Özet!$C$15+V14*Özet!$C$16+W14*Özet!$C$17+X14*Özet!$C$18+Y14*Özet!$C$19)/5,4)</f>
        <v>0.805</v>
      </c>
      <c r="AA14" s="27" t="n">
        <f aca="false">RANK(AE14,$AE$5:$AE$126)+COUNTIF($AE$5:AE14,AE14)-1</f>
        <v>10</v>
      </c>
      <c r="AB14" s="28" t="str">
        <f aca="false">IF(AND(OR(G14="EN",G14="EN (+DE artı)"),Z14&gt;=0.7),"A – Hemen başvur (İngilizce)",IF(Z14&gt;=0.7,"B – Başvur (Almanca gerekli)",IF(AND(OR(G14="EN",G14="EN (+DE artı)"),Z14&gt;=0.6),"B – Başvur (İngilizce)","C – Opsiyonel")))</f>
        <v>A – Hemen başvur (İngilizce)</v>
      </c>
      <c r="AC14" s="22" t="s">
        <v>220</v>
      </c>
      <c r="AD14" s="24" t="s">
        <v>221</v>
      </c>
      <c r="AE14" s="29" t="n">
        <f aca="false">Z14+IF(OR(G14="EN",G14="EN (+DE artı)"),1,0)</f>
        <v>1.805</v>
      </c>
    </row>
    <row r="15" customFormat="false" ht="75" hidden="false" customHeight="true" outlineLevel="0" collapsed="false">
      <c r="A15" s="22" t="n">
        <v>11</v>
      </c>
      <c r="B15" s="22" t="s">
        <v>179</v>
      </c>
      <c r="C15" s="22" t="s">
        <v>222</v>
      </c>
      <c r="D15" s="22" t="s">
        <v>181</v>
      </c>
      <c r="E15" s="22" t="s">
        <v>116</v>
      </c>
      <c r="F15" s="22" t="s">
        <v>223</v>
      </c>
      <c r="G15" s="22" t="s">
        <v>36</v>
      </c>
      <c r="H15" s="22" t="s">
        <v>135</v>
      </c>
      <c r="I15" s="22" t="s">
        <v>119</v>
      </c>
      <c r="J15" s="22" t="s">
        <v>120</v>
      </c>
      <c r="K15" s="22" t="s">
        <v>136</v>
      </c>
      <c r="L15" s="22" t="s">
        <v>224</v>
      </c>
      <c r="M15" s="22" t="s">
        <v>183</v>
      </c>
      <c r="N15" s="23" t="s">
        <v>225</v>
      </c>
      <c r="O15" s="22" t="s">
        <v>125</v>
      </c>
      <c r="P15" s="22"/>
      <c r="Q15" s="22" t="s">
        <v>185</v>
      </c>
      <c r="R15" s="22" t="s">
        <v>226</v>
      </c>
      <c r="S15" s="22" t="s">
        <v>227</v>
      </c>
      <c r="T15" s="25" t="n">
        <v>2.5</v>
      </c>
      <c r="U15" s="25" t="n">
        <v>4.5</v>
      </c>
      <c r="V15" s="25" t="n">
        <v>5</v>
      </c>
      <c r="W15" s="25" t="n">
        <v>4</v>
      </c>
      <c r="X15" s="25" t="n">
        <v>5</v>
      </c>
      <c r="Y15" s="25" t="n">
        <v>3.5</v>
      </c>
      <c r="Z15" s="26" t="n">
        <f aca="false">ROUND((T15*Özet!$C$14+U15*Özet!$C$15+V15*Özet!$C$16+W15*Özet!$C$17+X15*Özet!$C$18+Y15*Özet!$C$19)/5,4)</f>
        <v>0.795</v>
      </c>
      <c r="AA15" s="27" t="n">
        <f aca="false">RANK(AE15,$AE$5:$AE$126)+COUNTIF($AE$5:AE15,AE15)-1</f>
        <v>11</v>
      </c>
      <c r="AB15" s="28" t="str">
        <f aca="false">IF(AND(OR(G15="EN",G15="EN (+DE artı)"),Z15&gt;=0.7),"A – Hemen başvur (İngilizce)",IF(Z15&gt;=0.7,"B – Başvur (Almanca gerekli)",IF(AND(OR(G15="EN",G15="EN (+DE artı)"),Z15&gt;=0.6),"B – Başvur (İngilizce)","C – Opsiyonel")))</f>
        <v>A – Hemen başvur (İngilizce)</v>
      </c>
      <c r="AC15" s="22" t="s">
        <v>130</v>
      </c>
      <c r="AD15" s="24" t="s">
        <v>188</v>
      </c>
      <c r="AE15" s="29" t="n">
        <f aca="false">Z15+IF(OR(G15="EN",G15="EN (+DE artı)"),1,0)</f>
        <v>1.795</v>
      </c>
    </row>
    <row r="16" customFormat="false" ht="75" hidden="false" customHeight="true" outlineLevel="0" collapsed="false">
      <c r="A16" s="22" t="n">
        <v>12</v>
      </c>
      <c r="B16" s="22" t="s">
        <v>113</v>
      </c>
      <c r="C16" s="22" t="s">
        <v>228</v>
      </c>
      <c r="D16" s="22" t="s">
        <v>229</v>
      </c>
      <c r="E16" s="22" t="s">
        <v>230</v>
      </c>
      <c r="F16" s="22" t="s">
        <v>223</v>
      </c>
      <c r="G16" s="22" t="s">
        <v>39</v>
      </c>
      <c r="H16" s="22" t="s">
        <v>231</v>
      </c>
      <c r="I16" s="22" t="s">
        <v>119</v>
      </c>
      <c r="J16" s="22" t="s">
        <v>232</v>
      </c>
      <c r="K16" s="22" t="s">
        <v>164</v>
      </c>
      <c r="L16" s="22" t="s">
        <v>182</v>
      </c>
      <c r="M16" s="22" t="s">
        <v>123</v>
      </c>
      <c r="N16" s="23" t="s">
        <v>233</v>
      </c>
      <c r="O16" s="22" t="s">
        <v>149</v>
      </c>
      <c r="P16" s="24" t="s">
        <v>234</v>
      </c>
      <c r="Q16" s="22" t="s">
        <v>235</v>
      </c>
      <c r="R16" s="22" t="s">
        <v>236</v>
      </c>
      <c r="S16" s="22" t="s">
        <v>237</v>
      </c>
      <c r="T16" s="25" t="n">
        <v>3</v>
      </c>
      <c r="U16" s="25" t="n">
        <v>4</v>
      </c>
      <c r="V16" s="25" t="n">
        <v>5</v>
      </c>
      <c r="W16" s="25" t="n">
        <v>5</v>
      </c>
      <c r="X16" s="25" t="n">
        <v>4</v>
      </c>
      <c r="Y16" s="25" t="n">
        <v>3</v>
      </c>
      <c r="Z16" s="26" t="n">
        <f aca="false">ROUND((T16*Özet!$C$14+U16*Özet!$C$15+V16*Özet!$C$16+W16*Özet!$C$17+X16*Özet!$C$18+Y16*Özet!$C$19)/5,4)</f>
        <v>0.79</v>
      </c>
      <c r="AA16" s="27" t="n">
        <f aca="false">RANK(AE16,$AE$5:$AE$126)+COUNTIF($AE$5:AE16,AE16)-1</f>
        <v>12</v>
      </c>
      <c r="AB16" s="28" t="str">
        <f aca="false">IF(AND(OR(G16="EN",G16="EN (+DE artı)"),Z16&gt;=0.7),"A – Hemen başvur (İngilizce)",IF(Z16&gt;=0.7,"B – Başvur (Almanca gerekli)",IF(AND(OR(G16="EN",G16="EN (+DE artı)"),Z16&gt;=0.6),"B – Başvur (İngilizce)","C – Opsiyonel")))</f>
        <v>A – Hemen başvur (İngilizce)</v>
      </c>
      <c r="AC16" s="22" t="s">
        <v>130</v>
      </c>
      <c r="AD16" s="24" t="s">
        <v>131</v>
      </c>
      <c r="AE16" s="29" t="n">
        <f aca="false">Z16+IF(OR(G16="EN",G16="EN (+DE artı)"),1,0)</f>
        <v>1.79</v>
      </c>
    </row>
    <row r="17" customFormat="false" ht="75" hidden="false" customHeight="true" outlineLevel="0" collapsed="false">
      <c r="A17" s="22" t="n">
        <v>13</v>
      </c>
      <c r="B17" s="22" t="s">
        <v>113</v>
      </c>
      <c r="C17" s="22" t="s">
        <v>238</v>
      </c>
      <c r="D17" s="22" t="s">
        <v>115</v>
      </c>
      <c r="E17" s="22" t="s">
        <v>116</v>
      </c>
      <c r="F17" s="22" t="s">
        <v>117</v>
      </c>
      <c r="G17" s="22" t="s">
        <v>39</v>
      </c>
      <c r="H17" s="22" t="s">
        <v>239</v>
      </c>
      <c r="I17" s="22" t="s">
        <v>119</v>
      </c>
      <c r="J17" s="22" t="s">
        <v>120</v>
      </c>
      <c r="K17" s="22" t="s">
        <v>121</v>
      </c>
      <c r="L17" s="22" t="s">
        <v>137</v>
      </c>
      <c r="M17" s="22" t="s">
        <v>123</v>
      </c>
      <c r="N17" s="23" t="s">
        <v>240</v>
      </c>
      <c r="O17" s="22" t="s">
        <v>125</v>
      </c>
      <c r="P17" s="24" t="s">
        <v>241</v>
      </c>
      <c r="Q17" s="22" t="s">
        <v>242</v>
      </c>
      <c r="R17" s="22" t="s">
        <v>243</v>
      </c>
      <c r="S17" s="22" t="s">
        <v>244</v>
      </c>
      <c r="T17" s="25" t="n">
        <v>1.5</v>
      </c>
      <c r="U17" s="25" t="n">
        <v>5</v>
      </c>
      <c r="V17" s="25" t="n">
        <v>5</v>
      </c>
      <c r="W17" s="25" t="n">
        <v>5</v>
      </c>
      <c r="X17" s="25" t="n">
        <v>5</v>
      </c>
      <c r="Y17" s="25" t="n">
        <v>3.5</v>
      </c>
      <c r="Z17" s="26" t="n">
        <f aca="false">ROUND((T17*Özet!$C$14+U17*Özet!$C$15+V17*Özet!$C$16+W17*Özet!$C$17+X17*Özet!$C$18+Y17*Özet!$C$19)/5,4)</f>
        <v>0.76</v>
      </c>
      <c r="AA17" s="27" t="n">
        <f aca="false">RANK(AE17,$AE$5:$AE$126)+COUNTIF($AE$5:AE17,AE17)-1</f>
        <v>13</v>
      </c>
      <c r="AB17" s="28" t="str">
        <f aca="false">IF(AND(OR(G17="EN",G17="EN (+DE artı)"),Z17&gt;=0.7),"A – Hemen başvur (İngilizce)",IF(Z17&gt;=0.7,"B – Başvur (Almanca gerekli)",IF(AND(OR(G17="EN",G17="EN (+DE artı)"),Z17&gt;=0.6),"B – Başvur (İngilizce)","C – Opsiyonel")))</f>
        <v>A – Hemen başvur (İngilizce)</v>
      </c>
      <c r="AC17" s="22" t="s">
        <v>130</v>
      </c>
      <c r="AD17" s="24" t="s">
        <v>131</v>
      </c>
      <c r="AE17" s="29" t="n">
        <f aca="false">Z17+IF(OR(G17="EN",G17="EN (+DE artı)"),1,0)</f>
        <v>1.76</v>
      </c>
    </row>
    <row r="18" customFormat="false" ht="75" hidden="false" customHeight="true" outlineLevel="0" collapsed="false">
      <c r="A18" s="22" t="n">
        <v>14</v>
      </c>
      <c r="B18" s="22" t="s">
        <v>245</v>
      </c>
      <c r="C18" s="22" t="s">
        <v>246</v>
      </c>
      <c r="D18" s="22" t="s">
        <v>247</v>
      </c>
      <c r="E18" s="22" t="s">
        <v>116</v>
      </c>
      <c r="F18" s="22" t="s">
        <v>248</v>
      </c>
      <c r="G18" s="22" t="s">
        <v>36</v>
      </c>
      <c r="H18" s="22" t="s">
        <v>135</v>
      </c>
      <c r="I18" s="22" t="s">
        <v>119</v>
      </c>
      <c r="J18" s="22" t="s">
        <v>232</v>
      </c>
      <c r="K18" s="22" t="s">
        <v>249</v>
      </c>
      <c r="L18" s="22" t="s">
        <v>250</v>
      </c>
      <c r="M18" s="22" t="s">
        <v>183</v>
      </c>
      <c r="N18" s="23" t="s">
        <v>251</v>
      </c>
      <c r="O18" s="22" t="s">
        <v>125</v>
      </c>
      <c r="P18" s="22"/>
      <c r="Q18" s="22" t="s">
        <v>252</v>
      </c>
      <c r="R18" s="22" t="s">
        <v>253</v>
      </c>
      <c r="S18" s="22" t="s">
        <v>254</v>
      </c>
      <c r="T18" s="25" t="n">
        <v>2</v>
      </c>
      <c r="U18" s="25" t="n">
        <v>4</v>
      </c>
      <c r="V18" s="25" t="n">
        <v>5</v>
      </c>
      <c r="W18" s="25" t="n">
        <v>4</v>
      </c>
      <c r="X18" s="25" t="n">
        <v>5</v>
      </c>
      <c r="Y18" s="25" t="n">
        <v>4</v>
      </c>
      <c r="Z18" s="26" t="n">
        <f aca="false">ROUND((T18*Özet!$C$14+U18*Özet!$C$15+V18*Özet!$C$16+W18*Özet!$C$17+X18*Özet!$C$18+Y18*Özet!$C$19)/5,4)</f>
        <v>0.76</v>
      </c>
      <c r="AA18" s="27" t="n">
        <f aca="false">RANK(AE18,$AE$5:$AE$126)+COUNTIF($AE$5:AE18,AE18)-1</f>
        <v>14</v>
      </c>
      <c r="AB18" s="28" t="str">
        <f aca="false">IF(AND(OR(G18="EN",G18="EN (+DE artı)"),Z18&gt;=0.7),"A – Hemen başvur (İngilizce)",IF(Z18&gt;=0.7,"B – Başvur (Almanca gerekli)",IF(AND(OR(G18="EN",G18="EN (+DE artı)"),Z18&gt;=0.6),"B – Başvur (İngilizce)","C – Opsiyonel")))</f>
        <v>A – Hemen başvur (İngilizce)</v>
      </c>
      <c r="AC18" s="22" t="s">
        <v>130</v>
      </c>
      <c r="AD18" s="24" t="s">
        <v>255</v>
      </c>
      <c r="AE18" s="29" t="n">
        <f aca="false">Z18+IF(OR(G18="EN",G18="EN (+DE artı)"),1,0)</f>
        <v>1.76</v>
      </c>
    </row>
    <row r="19" customFormat="false" ht="75" hidden="false" customHeight="true" outlineLevel="0" collapsed="false">
      <c r="A19" s="22" t="n">
        <v>15</v>
      </c>
      <c r="B19" s="22" t="s">
        <v>256</v>
      </c>
      <c r="C19" s="22" t="s">
        <v>257</v>
      </c>
      <c r="D19" s="22" t="s">
        <v>258</v>
      </c>
      <c r="E19" s="22" t="s">
        <v>116</v>
      </c>
      <c r="F19" s="22" t="s">
        <v>210</v>
      </c>
      <c r="G19" s="22" t="s">
        <v>36</v>
      </c>
      <c r="H19" s="22" t="s">
        <v>135</v>
      </c>
      <c r="I19" s="22" t="s">
        <v>119</v>
      </c>
      <c r="J19" s="22" t="s">
        <v>212</v>
      </c>
      <c r="K19" s="22" t="s">
        <v>259</v>
      </c>
      <c r="L19" s="22" t="s">
        <v>260</v>
      </c>
      <c r="M19" s="22" t="s">
        <v>183</v>
      </c>
      <c r="N19" s="23" t="s">
        <v>261</v>
      </c>
      <c r="O19" s="22" t="s">
        <v>125</v>
      </c>
      <c r="P19" s="22"/>
      <c r="Q19" s="22" t="s">
        <v>262</v>
      </c>
      <c r="R19" s="22" t="s">
        <v>263</v>
      </c>
      <c r="S19" s="22" t="s">
        <v>264</v>
      </c>
      <c r="T19" s="25" t="n">
        <v>2.5</v>
      </c>
      <c r="U19" s="25" t="n">
        <v>3</v>
      </c>
      <c r="V19" s="25" t="n">
        <v>5</v>
      </c>
      <c r="W19" s="25" t="n">
        <v>4</v>
      </c>
      <c r="X19" s="25" t="n">
        <v>5</v>
      </c>
      <c r="Y19" s="25" t="n">
        <v>3</v>
      </c>
      <c r="Z19" s="26" t="n">
        <f aca="false">ROUND((T19*Özet!$C$14+U19*Özet!$C$15+V19*Özet!$C$16+W19*Özet!$C$17+X19*Özet!$C$18+Y19*Özet!$C$19)/5,4)</f>
        <v>0.74</v>
      </c>
      <c r="AA19" s="27" t="n">
        <f aca="false">RANK(AE19,$AE$5:$AE$126)+COUNTIF($AE$5:AE19,AE19)-1</f>
        <v>15</v>
      </c>
      <c r="AB19" s="28" t="str">
        <f aca="false">IF(AND(OR(G19="EN",G19="EN (+DE artı)"),Z19&gt;=0.7),"A – Hemen başvur (İngilizce)",IF(Z19&gt;=0.7,"B – Başvur (Almanca gerekli)",IF(AND(OR(G19="EN",G19="EN (+DE artı)"),Z19&gt;=0.6),"B – Başvur (İngilizce)","C – Opsiyonel")))</f>
        <v>A – Hemen başvur (İngilizce)</v>
      </c>
      <c r="AC19" s="22" t="s">
        <v>130</v>
      </c>
      <c r="AD19" s="24" t="s">
        <v>265</v>
      </c>
      <c r="AE19" s="29" t="n">
        <f aca="false">Z19+IF(OR(G19="EN",G19="EN (+DE artı)"),1,0)</f>
        <v>1.74</v>
      </c>
    </row>
    <row r="20" customFormat="false" ht="75" hidden="false" customHeight="true" outlineLevel="0" collapsed="false">
      <c r="A20" s="22" t="n">
        <v>16</v>
      </c>
      <c r="B20" s="22" t="s">
        <v>266</v>
      </c>
      <c r="C20" s="22" t="s">
        <v>267</v>
      </c>
      <c r="D20" s="22" t="s">
        <v>268</v>
      </c>
      <c r="E20" s="22" t="s">
        <v>116</v>
      </c>
      <c r="F20" s="22" t="s">
        <v>248</v>
      </c>
      <c r="G20" s="22" t="s">
        <v>36</v>
      </c>
      <c r="H20" s="22" t="s">
        <v>135</v>
      </c>
      <c r="I20" s="22" t="s">
        <v>119</v>
      </c>
      <c r="J20" s="22" t="s">
        <v>232</v>
      </c>
      <c r="K20" s="22" t="s">
        <v>136</v>
      </c>
      <c r="L20" s="22" t="s">
        <v>269</v>
      </c>
      <c r="M20" s="22" t="s">
        <v>183</v>
      </c>
      <c r="N20" s="23" t="s">
        <v>270</v>
      </c>
      <c r="O20" s="22" t="s">
        <v>125</v>
      </c>
      <c r="P20" s="22"/>
      <c r="Q20" s="22" t="s">
        <v>271</v>
      </c>
      <c r="R20" s="22" t="s">
        <v>272</v>
      </c>
      <c r="S20" s="22" t="s">
        <v>273</v>
      </c>
      <c r="T20" s="25" t="n">
        <v>1.5</v>
      </c>
      <c r="U20" s="25" t="n">
        <v>4</v>
      </c>
      <c r="V20" s="25" t="n">
        <v>5</v>
      </c>
      <c r="W20" s="25" t="n">
        <v>4</v>
      </c>
      <c r="X20" s="25" t="n">
        <v>5</v>
      </c>
      <c r="Y20" s="25" t="n">
        <v>3</v>
      </c>
      <c r="Z20" s="26" t="n">
        <f aca="false">ROUND((T20*Özet!$C$14+U20*Özet!$C$15+V20*Özet!$C$16+W20*Özet!$C$17+X20*Özet!$C$18+Y20*Özet!$C$19)/5,4)</f>
        <v>0.71</v>
      </c>
      <c r="AA20" s="27" t="n">
        <f aca="false">RANK(AE20,$AE$5:$AE$126)+COUNTIF($AE$5:AE20,AE20)-1</f>
        <v>16</v>
      </c>
      <c r="AB20" s="28" t="str">
        <f aca="false">IF(AND(OR(G20="EN",G20="EN (+DE artı)"),Z20&gt;=0.7),"A – Hemen başvur (İngilizce)",IF(Z20&gt;=0.7,"B – Başvur (Almanca gerekli)",IF(AND(OR(G20="EN",G20="EN (+DE artı)"),Z20&gt;=0.6),"B – Başvur (İngilizce)","C – Opsiyonel")))</f>
        <v>A – Hemen başvur (İngilizce)</v>
      </c>
      <c r="AC20" s="22" t="s">
        <v>130</v>
      </c>
      <c r="AD20" s="24" t="s">
        <v>274</v>
      </c>
      <c r="AE20" s="29" t="n">
        <f aca="false">Z20+IF(OR(G20="EN",G20="EN (+DE artı)"),1,0)</f>
        <v>1.71</v>
      </c>
    </row>
    <row r="21" customFormat="false" ht="75" hidden="false" customHeight="true" outlineLevel="0" collapsed="false">
      <c r="A21" s="22" t="n">
        <v>17</v>
      </c>
      <c r="B21" s="22" t="s">
        <v>275</v>
      </c>
      <c r="C21" s="22" t="s">
        <v>276</v>
      </c>
      <c r="D21" s="22" t="s">
        <v>181</v>
      </c>
      <c r="E21" s="22" t="s">
        <v>116</v>
      </c>
      <c r="F21" s="22" t="s">
        <v>171</v>
      </c>
      <c r="G21" s="22" t="s">
        <v>50</v>
      </c>
      <c r="H21" s="22" t="s">
        <v>277</v>
      </c>
      <c r="I21" s="22" t="s">
        <v>119</v>
      </c>
      <c r="J21" s="22" t="s">
        <v>120</v>
      </c>
      <c r="K21" s="22" t="s">
        <v>278</v>
      </c>
      <c r="L21" s="22" t="s">
        <v>147</v>
      </c>
      <c r="M21" s="22" t="s">
        <v>183</v>
      </c>
      <c r="N21" s="23" t="s">
        <v>279</v>
      </c>
      <c r="O21" s="22" t="s">
        <v>125</v>
      </c>
      <c r="P21" s="22"/>
      <c r="Q21" s="22" t="s">
        <v>280</v>
      </c>
      <c r="R21" s="22" t="s">
        <v>281</v>
      </c>
      <c r="S21" s="22" t="s">
        <v>219</v>
      </c>
      <c r="T21" s="25" t="n">
        <v>5</v>
      </c>
      <c r="U21" s="25" t="n">
        <v>5</v>
      </c>
      <c r="V21" s="25" t="n">
        <v>1.5</v>
      </c>
      <c r="W21" s="25" t="n">
        <v>3.5</v>
      </c>
      <c r="X21" s="25" t="n">
        <v>5</v>
      </c>
      <c r="Y21" s="25" t="n">
        <v>5</v>
      </c>
      <c r="Z21" s="26" t="n">
        <f aca="false">ROUND((T21*Özet!$C$14+U21*Özet!$C$15+V21*Özet!$C$16+W21*Özet!$C$17+X21*Özet!$C$18+Y21*Özet!$C$19)/5,4)</f>
        <v>0.775</v>
      </c>
      <c r="AA21" s="27" t="n">
        <f aca="false">RANK(AE21,$AE$5:$AE$126)+COUNTIF($AE$5:AE21,AE21)-1</f>
        <v>17</v>
      </c>
      <c r="AB21" s="28" t="str">
        <f aca="false">IF(AND(OR(G21="EN",G21="EN (+DE artı)"),Z21&gt;=0.7),"A – Hemen başvur (İngilizce)",IF(Z21&gt;=0.7,"B – Başvur (Almanca gerekli)",IF(AND(OR(G21="EN",G21="EN (+DE artı)"),Z21&gt;=0.6),"B – Başvur (İngilizce)","C – Opsiyonel")))</f>
        <v>B – Başvur (Almanca gerekli)</v>
      </c>
      <c r="AC21" s="22" t="s">
        <v>282</v>
      </c>
      <c r="AD21" s="24" t="s">
        <v>283</v>
      </c>
      <c r="AE21" s="29" t="n">
        <f aca="false">Z21+IF(OR(G21="EN",G21="EN (+DE artı)"),1,0)</f>
        <v>0.775</v>
      </c>
    </row>
    <row r="22" customFormat="false" ht="75" hidden="false" customHeight="true" outlineLevel="0" collapsed="false">
      <c r="A22" s="22" t="n">
        <v>18</v>
      </c>
      <c r="B22" s="22" t="s">
        <v>284</v>
      </c>
      <c r="C22" s="22" t="s">
        <v>285</v>
      </c>
      <c r="D22" s="22" t="s">
        <v>286</v>
      </c>
      <c r="E22" s="22" t="s">
        <v>116</v>
      </c>
      <c r="F22" s="22" t="s">
        <v>162</v>
      </c>
      <c r="G22" s="22" t="s">
        <v>44</v>
      </c>
      <c r="H22" s="22" t="s">
        <v>287</v>
      </c>
      <c r="I22" s="22" t="s">
        <v>119</v>
      </c>
      <c r="J22" s="22" t="s">
        <v>120</v>
      </c>
      <c r="K22" s="22" t="s">
        <v>288</v>
      </c>
      <c r="L22" s="22" t="s">
        <v>182</v>
      </c>
      <c r="M22" s="22" t="s">
        <v>138</v>
      </c>
      <c r="N22" s="23" t="s">
        <v>289</v>
      </c>
      <c r="O22" s="22" t="s">
        <v>149</v>
      </c>
      <c r="P22" s="22"/>
      <c r="Q22" s="22" t="s">
        <v>290</v>
      </c>
      <c r="R22" s="22" t="s">
        <v>291</v>
      </c>
      <c r="S22" s="22" t="s">
        <v>292</v>
      </c>
      <c r="T22" s="25" t="n">
        <v>4.5</v>
      </c>
      <c r="U22" s="25" t="n">
        <v>5</v>
      </c>
      <c r="V22" s="25" t="n">
        <v>2</v>
      </c>
      <c r="W22" s="25" t="n">
        <v>3.5</v>
      </c>
      <c r="X22" s="25" t="n">
        <v>5</v>
      </c>
      <c r="Y22" s="25" t="n">
        <v>5</v>
      </c>
      <c r="Z22" s="26" t="n">
        <f aca="false">ROUND((T22*Özet!$C$14+U22*Özet!$C$15+V22*Özet!$C$16+W22*Özet!$C$17+X22*Özet!$C$18+Y22*Özet!$C$19)/5,4)</f>
        <v>0.775</v>
      </c>
      <c r="AA22" s="27" t="n">
        <f aca="false">RANK(AE22,$AE$5:$AE$126)+COUNTIF($AE$5:AE22,AE22)-1</f>
        <v>18</v>
      </c>
      <c r="AB22" s="28" t="str">
        <f aca="false">IF(AND(OR(G22="EN",G22="EN (+DE artı)"),Z22&gt;=0.7),"A – Hemen başvur (İngilizce)",IF(Z22&gt;=0.7,"B – Başvur (Almanca gerekli)",IF(AND(OR(G22="EN",G22="EN (+DE artı)"),Z22&gt;=0.6),"B – Başvur (İngilizce)","C – Opsiyonel")))</f>
        <v>B – Başvur (Almanca gerekli)</v>
      </c>
      <c r="AC22" s="22" t="s">
        <v>293</v>
      </c>
      <c r="AD22" s="24" t="s">
        <v>294</v>
      </c>
      <c r="AE22" s="29" t="n">
        <f aca="false">Z22+IF(OR(G22="EN",G22="EN (+DE artı)"),1,0)</f>
        <v>0.775</v>
      </c>
    </row>
    <row r="23" customFormat="false" ht="75" hidden="false" customHeight="true" outlineLevel="0" collapsed="false">
      <c r="A23" s="22" t="n">
        <v>19</v>
      </c>
      <c r="B23" s="22" t="s">
        <v>295</v>
      </c>
      <c r="C23" s="22" t="s">
        <v>296</v>
      </c>
      <c r="D23" s="22" t="s">
        <v>297</v>
      </c>
      <c r="E23" s="22" t="s">
        <v>116</v>
      </c>
      <c r="F23" s="22" t="s">
        <v>162</v>
      </c>
      <c r="G23" s="22" t="s">
        <v>50</v>
      </c>
      <c r="H23" s="22" t="s">
        <v>277</v>
      </c>
      <c r="I23" s="22" t="s">
        <v>119</v>
      </c>
      <c r="J23" s="22" t="s">
        <v>120</v>
      </c>
      <c r="K23" s="22" t="s">
        <v>298</v>
      </c>
      <c r="L23" s="22" t="s">
        <v>260</v>
      </c>
      <c r="M23" s="22" t="s">
        <v>138</v>
      </c>
      <c r="N23" s="23" t="s">
        <v>299</v>
      </c>
      <c r="O23" s="22" t="s">
        <v>125</v>
      </c>
      <c r="P23" s="22"/>
      <c r="Q23" s="22" t="s">
        <v>300</v>
      </c>
      <c r="R23" s="22" t="s">
        <v>301</v>
      </c>
      <c r="S23" s="22" t="s">
        <v>292</v>
      </c>
      <c r="T23" s="25" t="n">
        <v>5</v>
      </c>
      <c r="U23" s="25" t="n">
        <v>5</v>
      </c>
      <c r="V23" s="25" t="n">
        <v>1.5</v>
      </c>
      <c r="W23" s="25" t="n">
        <v>4</v>
      </c>
      <c r="X23" s="25" t="n">
        <v>5</v>
      </c>
      <c r="Y23" s="25" t="n">
        <v>4.5</v>
      </c>
      <c r="Z23" s="26" t="n">
        <f aca="false">ROUND((T23*Özet!$C$14+U23*Özet!$C$15+V23*Özet!$C$16+W23*Özet!$C$17+X23*Özet!$C$18+Y23*Özet!$C$19)/5,4)</f>
        <v>0.77</v>
      </c>
      <c r="AA23" s="27" t="n">
        <f aca="false">RANK(AE23,$AE$5:$AE$126)+COUNTIF($AE$5:AE23,AE23)-1</f>
        <v>19</v>
      </c>
      <c r="AB23" s="28" t="str">
        <f aca="false">IF(AND(OR(G23="EN",G23="EN (+DE artı)"),Z23&gt;=0.7),"A – Hemen başvur (İngilizce)",IF(Z23&gt;=0.7,"B – Başvur (Almanca gerekli)",IF(AND(OR(G23="EN",G23="EN (+DE artı)"),Z23&gt;=0.6),"B – Başvur (İngilizce)","C – Opsiyonel")))</f>
        <v>B – Başvur (Almanca gerekli)</v>
      </c>
      <c r="AC23" s="22" t="s">
        <v>302</v>
      </c>
      <c r="AD23" s="24" t="s">
        <v>303</v>
      </c>
      <c r="AE23" s="29" t="n">
        <f aca="false">Z23+IF(OR(G23="EN",G23="EN (+DE artı)"),1,0)</f>
        <v>0.77</v>
      </c>
    </row>
    <row r="24" customFormat="false" ht="75" hidden="false" customHeight="true" outlineLevel="0" collapsed="false">
      <c r="A24" s="22" t="n">
        <v>20</v>
      </c>
      <c r="B24" s="22" t="s">
        <v>304</v>
      </c>
      <c r="C24" s="22" t="s">
        <v>305</v>
      </c>
      <c r="D24" s="22" t="s">
        <v>258</v>
      </c>
      <c r="E24" s="22" t="s">
        <v>116</v>
      </c>
      <c r="F24" s="22" t="s">
        <v>117</v>
      </c>
      <c r="G24" s="22" t="s">
        <v>44</v>
      </c>
      <c r="H24" s="22" t="s">
        <v>306</v>
      </c>
      <c r="I24" s="22" t="s">
        <v>119</v>
      </c>
      <c r="J24" s="22" t="s">
        <v>120</v>
      </c>
      <c r="K24" s="22" t="s">
        <v>307</v>
      </c>
      <c r="L24" s="22" t="s">
        <v>308</v>
      </c>
      <c r="M24" s="22" t="s">
        <v>183</v>
      </c>
      <c r="N24" s="23" t="s">
        <v>309</v>
      </c>
      <c r="O24" s="22" t="s">
        <v>125</v>
      </c>
      <c r="P24" s="22"/>
      <c r="Q24" s="22" t="s">
        <v>310</v>
      </c>
      <c r="R24" s="22" t="s">
        <v>311</v>
      </c>
      <c r="S24" s="22" t="s">
        <v>219</v>
      </c>
      <c r="T24" s="25" t="n">
        <v>4</v>
      </c>
      <c r="U24" s="25" t="n">
        <v>5</v>
      </c>
      <c r="V24" s="25" t="n">
        <v>2</v>
      </c>
      <c r="W24" s="25" t="n">
        <v>4</v>
      </c>
      <c r="X24" s="25" t="n">
        <v>5</v>
      </c>
      <c r="Y24" s="25" t="n">
        <v>5</v>
      </c>
      <c r="Z24" s="26" t="n">
        <f aca="false">ROUND((T24*Özet!$C$14+U24*Özet!$C$15+V24*Özet!$C$16+W24*Özet!$C$17+X24*Özet!$C$18+Y24*Özet!$C$19)/5,4)</f>
        <v>0.75</v>
      </c>
      <c r="AA24" s="27" t="n">
        <f aca="false">RANK(AE24,$AE$5:$AE$126)+COUNTIF($AE$5:AE24,AE24)-1</f>
        <v>20</v>
      </c>
      <c r="AB24" s="28" t="str">
        <f aca="false">IF(AND(OR(G24="EN",G24="EN (+DE artı)"),Z24&gt;=0.7),"A – Hemen başvur (İngilizce)",IF(Z24&gt;=0.7,"B – Başvur (Almanca gerekli)",IF(AND(OR(G24="EN",G24="EN (+DE artı)"),Z24&gt;=0.6),"B – Başvur (İngilizce)","C – Opsiyonel")))</f>
        <v>B – Başvur (Almanca gerekli)</v>
      </c>
      <c r="AC24" s="22" t="s">
        <v>312</v>
      </c>
      <c r="AD24" s="24" t="s">
        <v>313</v>
      </c>
      <c r="AE24" s="29" t="n">
        <f aca="false">Z24+IF(OR(G24="EN",G24="EN (+DE artı)"),1,0)</f>
        <v>0.75</v>
      </c>
    </row>
    <row r="25" customFormat="false" ht="75" hidden="false" customHeight="true" outlineLevel="0" collapsed="false">
      <c r="A25" s="22" t="n">
        <v>21</v>
      </c>
      <c r="B25" s="22" t="s">
        <v>314</v>
      </c>
      <c r="C25" s="22" t="s">
        <v>315</v>
      </c>
      <c r="D25" s="22" t="s">
        <v>316</v>
      </c>
      <c r="E25" s="22" t="s">
        <v>116</v>
      </c>
      <c r="F25" s="22" t="s">
        <v>162</v>
      </c>
      <c r="G25" s="22" t="s">
        <v>44</v>
      </c>
      <c r="H25" s="22" t="s">
        <v>317</v>
      </c>
      <c r="I25" s="22" t="s">
        <v>119</v>
      </c>
      <c r="J25" s="22" t="s">
        <v>120</v>
      </c>
      <c r="K25" s="22" t="s">
        <v>318</v>
      </c>
      <c r="L25" s="22" t="s">
        <v>260</v>
      </c>
      <c r="M25" s="22" t="s">
        <v>138</v>
      </c>
      <c r="N25" s="23" t="s">
        <v>319</v>
      </c>
      <c r="O25" s="22" t="s">
        <v>149</v>
      </c>
      <c r="P25" s="22"/>
      <c r="Q25" s="22" t="s">
        <v>320</v>
      </c>
      <c r="R25" s="22" t="s">
        <v>321</v>
      </c>
      <c r="S25" s="22" t="s">
        <v>322</v>
      </c>
      <c r="T25" s="25" t="n">
        <v>4</v>
      </c>
      <c r="U25" s="25" t="n">
        <v>5</v>
      </c>
      <c r="V25" s="25" t="n">
        <v>2</v>
      </c>
      <c r="W25" s="25" t="n">
        <v>4</v>
      </c>
      <c r="X25" s="25" t="n">
        <v>5</v>
      </c>
      <c r="Y25" s="25" t="n">
        <v>4.5</v>
      </c>
      <c r="Z25" s="26" t="n">
        <f aca="false">ROUND((T25*Özet!$C$14+U25*Özet!$C$15+V25*Özet!$C$16+W25*Özet!$C$17+X25*Özet!$C$18+Y25*Özet!$C$19)/5,4)</f>
        <v>0.74</v>
      </c>
      <c r="AA25" s="27" t="n">
        <f aca="false">RANK(AE25,$AE$5:$AE$126)+COUNTIF($AE$5:AE25,AE25)-1</f>
        <v>21</v>
      </c>
      <c r="AB25" s="28" t="str">
        <f aca="false">IF(AND(OR(G25="EN",G25="EN (+DE artı)"),Z25&gt;=0.7),"A – Hemen başvur (İngilizce)",IF(Z25&gt;=0.7,"B – Başvur (Almanca gerekli)",IF(AND(OR(G25="EN",G25="EN (+DE artı)"),Z25&gt;=0.6),"B – Başvur (İngilizce)","C – Opsiyonel")))</f>
        <v>B – Başvur (Almanca gerekli)</v>
      </c>
      <c r="AC25" s="22" t="s">
        <v>312</v>
      </c>
      <c r="AD25" s="24" t="s">
        <v>323</v>
      </c>
      <c r="AE25" s="29" t="n">
        <f aca="false">Z25+IF(OR(G25="EN",G25="EN (+DE artı)"),1,0)</f>
        <v>0.74</v>
      </c>
    </row>
    <row r="26" customFormat="false" ht="75" hidden="false" customHeight="true" outlineLevel="0" collapsed="false">
      <c r="A26" s="22" t="n">
        <v>22</v>
      </c>
      <c r="B26" s="22" t="s">
        <v>324</v>
      </c>
      <c r="C26" s="22" t="s">
        <v>325</v>
      </c>
      <c r="D26" s="22" t="s">
        <v>181</v>
      </c>
      <c r="E26" s="22" t="s">
        <v>116</v>
      </c>
      <c r="F26" s="22" t="s">
        <v>171</v>
      </c>
      <c r="G26" s="22" t="s">
        <v>52</v>
      </c>
      <c r="H26" s="22" t="s">
        <v>326</v>
      </c>
      <c r="I26" s="22" t="s">
        <v>119</v>
      </c>
      <c r="J26" s="22" t="s">
        <v>120</v>
      </c>
      <c r="K26" s="22" t="s">
        <v>327</v>
      </c>
      <c r="L26" s="22" t="s">
        <v>214</v>
      </c>
      <c r="M26" s="22" t="s">
        <v>183</v>
      </c>
      <c r="N26" s="23" t="s">
        <v>328</v>
      </c>
      <c r="O26" s="22" t="s">
        <v>125</v>
      </c>
      <c r="P26" s="22"/>
      <c r="Q26" s="22" t="s">
        <v>329</v>
      </c>
      <c r="R26" s="22" t="s">
        <v>330</v>
      </c>
      <c r="S26" s="22" t="s">
        <v>331</v>
      </c>
      <c r="T26" s="25" t="n">
        <v>5</v>
      </c>
      <c r="U26" s="25" t="n">
        <v>5</v>
      </c>
      <c r="V26" s="25" t="n">
        <v>1</v>
      </c>
      <c r="W26" s="25" t="n">
        <v>5</v>
      </c>
      <c r="X26" s="25" t="n">
        <v>5</v>
      </c>
      <c r="Y26" s="25" t="n">
        <v>4</v>
      </c>
      <c r="Z26" s="26" t="n">
        <f aca="false">ROUND((T26*Özet!$C$14+U26*Özet!$C$15+V26*Özet!$C$16+W26*Özet!$C$17+X26*Özet!$C$18+Y26*Özet!$C$19)/5,4)</f>
        <v>0.74</v>
      </c>
      <c r="AA26" s="27" t="n">
        <f aca="false">RANK(AE26,$AE$5:$AE$126)+COUNTIF($AE$5:AE26,AE26)-1</f>
        <v>22</v>
      </c>
      <c r="AB26" s="28" t="str">
        <f aca="false">IF(AND(OR(G26="EN",G26="EN (+DE artı)"),Z26&gt;=0.7),"A – Hemen başvur (İngilizce)",IF(Z26&gt;=0.7,"B – Başvur (Almanca gerekli)",IF(AND(OR(G26="EN",G26="EN (+DE artı)"),Z26&gt;=0.6),"B – Başvur (İngilizce)","C – Opsiyonel")))</f>
        <v>B – Başvur (Almanca gerekli)</v>
      </c>
      <c r="AC26" s="22" t="s">
        <v>332</v>
      </c>
      <c r="AD26" s="24" t="s">
        <v>333</v>
      </c>
      <c r="AE26" s="29" t="n">
        <f aca="false">Z26+IF(OR(G26="EN",G26="EN (+DE artı)"),1,0)</f>
        <v>0.74</v>
      </c>
    </row>
    <row r="27" customFormat="false" ht="75" hidden="false" customHeight="true" outlineLevel="0" collapsed="false">
      <c r="A27" s="22" t="n">
        <v>23</v>
      </c>
      <c r="B27" s="22" t="s">
        <v>334</v>
      </c>
      <c r="C27" s="22" t="s">
        <v>335</v>
      </c>
      <c r="D27" s="22" t="s">
        <v>336</v>
      </c>
      <c r="E27" s="22" t="s">
        <v>200</v>
      </c>
      <c r="F27" s="22" t="s">
        <v>162</v>
      </c>
      <c r="G27" s="22" t="s">
        <v>44</v>
      </c>
      <c r="H27" s="22" t="s">
        <v>337</v>
      </c>
      <c r="I27" s="22" t="s">
        <v>119</v>
      </c>
      <c r="J27" s="22" t="s">
        <v>120</v>
      </c>
      <c r="K27" s="22" t="s">
        <v>338</v>
      </c>
      <c r="L27" s="22" t="s">
        <v>339</v>
      </c>
      <c r="M27" s="22" t="s">
        <v>183</v>
      </c>
      <c r="N27" s="23" t="s">
        <v>340</v>
      </c>
      <c r="O27" s="22" t="s">
        <v>125</v>
      </c>
      <c r="P27" s="22"/>
      <c r="Q27" s="22" t="s">
        <v>341</v>
      </c>
      <c r="R27" s="22" t="s">
        <v>342</v>
      </c>
      <c r="S27" s="22" t="s">
        <v>343</v>
      </c>
      <c r="T27" s="25" t="n">
        <v>5</v>
      </c>
      <c r="U27" s="25" t="n">
        <v>5</v>
      </c>
      <c r="V27" s="25" t="n">
        <v>2</v>
      </c>
      <c r="W27" s="25" t="n">
        <v>3.5</v>
      </c>
      <c r="X27" s="25" t="n">
        <v>2</v>
      </c>
      <c r="Y27" s="25" t="n">
        <v>4.5</v>
      </c>
      <c r="Z27" s="26" t="n">
        <f aca="false">ROUND((T27*Özet!$C$14+U27*Özet!$C$15+V27*Özet!$C$16+W27*Özet!$C$17+X27*Özet!$C$18+Y27*Özet!$C$19)/5,4)</f>
        <v>0.735</v>
      </c>
      <c r="AA27" s="27" t="n">
        <f aca="false">RANK(AE27,$AE$5:$AE$126)+COUNTIF($AE$5:AE27,AE27)-1</f>
        <v>23</v>
      </c>
      <c r="AB27" s="28" t="str">
        <f aca="false">IF(AND(OR(G27="EN",G27="EN (+DE artı)"),Z27&gt;=0.7),"A – Hemen başvur (İngilizce)",IF(Z27&gt;=0.7,"B – Başvur (Almanca gerekli)",IF(AND(OR(G27="EN",G27="EN (+DE artı)"),Z27&gt;=0.6),"B – Başvur (İngilizce)","C – Opsiyonel")))</f>
        <v>B – Başvur (Almanca gerekli)</v>
      </c>
      <c r="AC27" s="22" t="s">
        <v>344</v>
      </c>
      <c r="AD27" s="24" t="s">
        <v>345</v>
      </c>
      <c r="AE27" s="29" t="n">
        <f aca="false">Z27+IF(OR(G27="EN",G27="EN (+DE artı)"),1,0)</f>
        <v>0.735</v>
      </c>
    </row>
    <row r="28" customFormat="false" ht="75" hidden="false" customHeight="true" outlineLevel="0" collapsed="false">
      <c r="A28" s="22" t="n">
        <v>24</v>
      </c>
      <c r="B28" s="22" t="s">
        <v>346</v>
      </c>
      <c r="C28" s="22" t="s">
        <v>347</v>
      </c>
      <c r="D28" s="22" t="s">
        <v>348</v>
      </c>
      <c r="E28" s="22" t="s">
        <v>116</v>
      </c>
      <c r="F28" s="22" t="s">
        <v>171</v>
      </c>
      <c r="G28" s="22" t="s">
        <v>52</v>
      </c>
      <c r="H28" s="22" t="s">
        <v>349</v>
      </c>
      <c r="I28" s="22" t="s">
        <v>119</v>
      </c>
      <c r="J28" s="22" t="s">
        <v>120</v>
      </c>
      <c r="K28" s="22" t="s">
        <v>350</v>
      </c>
      <c r="L28" s="22" t="s">
        <v>260</v>
      </c>
      <c r="M28" s="22" t="s">
        <v>138</v>
      </c>
      <c r="N28" s="23" t="s">
        <v>351</v>
      </c>
      <c r="O28" s="22" t="s">
        <v>149</v>
      </c>
      <c r="P28" s="24" t="s">
        <v>352</v>
      </c>
      <c r="Q28" s="22" t="s">
        <v>353</v>
      </c>
      <c r="R28" s="22" t="s">
        <v>354</v>
      </c>
      <c r="S28" s="22" t="s">
        <v>355</v>
      </c>
      <c r="T28" s="25" t="n">
        <v>4.5</v>
      </c>
      <c r="U28" s="25" t="n">
        <v>5</v>
      </c>
      <c r="V28" s="25" t="n">
        <v>1</v>
      </c>
      <c r="W28" s="25" t="n">
        <v>5</v>
      </c>
      <c r="X28" s="25" t="n">
        <v>5</v>
      </c>
      <c r="Y28" s="25" t="n">
        <v>4.5</v>
      </c>
      <c r="Z28" s="26" t="n">
        <f aca="false">ROUND((T28*Özet!$C$14+U28*Özet!$C$15+V28*Özet!$C$16+W28*Özet!$C$17+X28*Özet!$C$18+Y28*Özet!$C$19)/5,4)</f>
        <v>0.72</v>
      </c>
      <c r="AA28" s="27" t="n">
        <f aca="false">RANK(AE28,$AE$5:$AE$126)+COUNTIF($AE$5:AE28,AE28)-1</f>
        <v>24</v>
      </c>
      <c r="AB28" s="28" t="str">
        <f aca="false">IF(AND(OR(G28="EN",G28="EN (+DE artı)"),Z28&gt;=0.7),"A – Hemen başvur (İngilizce)",IF(Z28&gt;=0.7,"B – Başvur (Almanca gerekli)",IF(AND(OR(G28="EN",G28="EN (+DE artı)"),Z28&gt;=0.6),"B – Başvur (İngilizce)","C – Opsiyonel")))</f>
        <v>B – Başvur (Almanca gerekli)</v>
      </c>
      <c r="AC28" s="22" t="s">
        <v>356</v>
      </c>
      <c r="AD28" s="24" t="s">
        <v>357</v>
      </c>
      <c r="AE28" s="29" t="n">
        <f aca="false">Z28+IF(OR(G28="EN",G28="EN (+DE artı)"),1,0)</f>
        <v>0.72</v>
      </c>
    </row>
    <row r="29" customFormat="false" ht="75" hidden="false" customHeight="true" outlineLevel="0" collapsed="false">
      <c r="A29" s="22" t="n">
        <v>25</v>
      </c>
      <c r="B29" s="22" t="s">
        <v>358</v>
      </c>
      <c r="C29" s="22" t="s">
        <v>359</v>
      </c>
      <c r="D29" s="22" t="s">
        <v>181</v>
      </c>
      <c r="E29" s="22" t="s">
        <v>116</v>
      </c>
      <c r="F29" s="22" t="s">
        <v>360</v>
      </c>
      <c r="G29" s="22" t="s">
        <v>44</v>
      </c>
      <c r="H29" s="22" t="s">
        <v>361</v>
      </c>
      <c r="I29" s="22" t="s">
        <v>119</v>
      </c>
      <c r="J29" s="22" t="s">
        <v>120</v>
      </c>
      <c r="K29" s="22" t="s">
        <v>362</v>
      </c>
      <c r="L29" s="22" t="s">
        <v>339</v>
      </c>
      <c r="M29" s="22" t="s">
        <v>183</v>
      </c>
      <c r="N29" s="23" t="s">
        <v>363</v>
      </c>
      <c r="O29" s="22" t="s">
        <v>125</v>
      </c>
      <c r="P29" s="22"/>
      <c r="Q29" s="22" t="s">
        <v>364</v>
      </c>
      <c r="R29" s="22" t="s">
        <v>365</v>
      </c>
      <c r="S29" s="22" t="s">
        <v>366</v>
      </c>
      <c r="T29" s="25" t="n">
        <v>3.5</v>
      </c>
      <c r="U29" s="25" t="n">
        <v>5</v>
      </c>
      <c r="V29" s="25" t="n">
        <v>2</v>
      </c>
      <c r="W29" s="25" t="n">
        <v>4</v>
      </c>
      <c r="X29" s="25" t="n">
        <v>5</v>
      </c>
      <c r="Y29" s="25" t="n">
        <v>4.5</v>
      </c>
      <c r="Z29" s="26" t="n">
        <f aca="false">ROUND((T29*Özet!$C$14+U29*Özet!$C$15+V29*Özet!$C$16+W29*Özet!$C$17+X29*Özet!$C$18+Y29*Özet!$C$19)/5,4)</f>
        <v>0.71</v>
      </c>
      <c r="AA29" s="27" t="n">
        <f aca="false">RANK(AE29,$AE$5:$AE$126)+COUNTIF($AE$5:AE29,AE29)-1</f>
        <v>25</v>
      </c>
      <c r="AB29" s="28" t="str">
        <f aca="false">IF(AND(OR(G29="EN",G29="EN (+DE artı)"),Z29&gt;=0.7),"A – Hemen başvur (İngilizce)",IF(Z29&gt;=0.7,"B – Başvur (Almanca gerekli)",IF(AND(OR(G29="EN",G29="EN (+DE artı)"),Z29&gt;=0.6),"B – Başvur (İngilizce)","C – Opsiyonel")))</f>
        <v>B – Başvur (Almanca gerekli)</v>
      </c>
      <c r="AC29" s="22" t="s">
        <v>367</v>
      </c>
      <c r="AD29" s="24" t="s">
        <v>368</v>
      </c>
      <c r="AE29" s="29" t="n">
        <f aca="false">Z29+IF(OR(G29="EN",G29="EN (+DE artı)"),1,0)</f>
        <v>0.71</v>
      </c>
    </row>
    <row r="30" customFormat="false" ht="75" hidden="false" customHeight="true" outlineLevel="0" collapsed="false">
      <c r="A30" s="22" t="n">
        <v>26</v>
      </c>
      <c r="B30" s="22" t="s">
        <v>369</v>
      </c>
      <c r="C30" s="22" t="s">
        <v>370</v>
      </c>
      <c r="D30" s="22" t="s">
        <v>371</v>
      </c>
      <c r="E30" s="22" t="s">
        <v>116</v>
      </c>
      <c r="F30" s="22" t="s">
        <v>117</v>
      </c>
      <c r="G30" s="22" t="s">
        <v>52</v>
      </c>
      <c r="H30" s="22" t="s">
        <v>372</v>
      </c>
      <c r="I30" s="22" t="s">
        <v>119</v>
      </c>
      <c r="J30" s="22" t="s">
        <v>120</v>
      </c>
      <c r="K30" s="22" t="s">
        <v>373</v>
      </c>
      <c r="L30" s="22" t="s">
        <v>137</v>
      </c>
      <c r="M30" s="22" t="s">
        <v>138</v>
      </c>
      <c r="N30" s="23" t="s">
        <v>374</v>
      </c>
      <c r="O30" s="22" t="s">
        <v>125</v>
      </c>
      <c r="P30" s="22"/>
      <c r="Q30" s="22" t="s">
        <v>375</v>
      </c>
      <c r="R30" s="22" t="s">
        <v>376</v>
      </c>
      <c r="S30" s="22" t="s">
        <v>331</v>
      </c>
      <c r="T30" s="25" t="n">
        <v>4.5</v>
      </c>
      <c r="U30" s="25" t="n">
        <v>5</v>
      </c>
      <c r="V30" s="25" t="n">
        <v>1</v>
      </c>
      <c r="W30" s="25" t="n">
        <v>4</v>
      </c>
      <c r="X30" s="25" t="n">
        <v>5</v>
      </c>
      <c r="Y30" s="25" t="n">
        <v>4.5</v>
      </c>
      <c r="Z30" s="26" t="n">
        <f aca="false">ROUND((T30*Özet!$C$14+U30*Özet!$C$15+V30*Özet!$C$16+W30*Özet!$C$17+X30*Özet!$C$18+Y30*Özet!$C$19)/5,4)</f>
        <v>0.71</v>
      </c>
      <c r="AA30" s="27" t="n">
        <f aca="false">RANK(AE30,$AE$5:$AE$126)+COUNTIF($AE$5:AE30,AE30)-1</f>
        <v>26</v>
      </c>
      <c r="AB30" s="28" t="str">
        <f aca="false">IF(AND(OR(G30="EN",G30="EN (+DE artı)"),Z30&gt;=0.7),"A – Hemen başvur (İngilizce)",IF(Z30&gt;=0.7,"B – Başvur (Almanca gerekli)",IF(AND(OR(G30="EN",G30="EN (+DE artı)"),Z30&gt;=0.6),"B – Başvur (İngilizce)","C – Opsiyonel")))</f>
        <v>B – Başvur (Almanca gerekli)</v>
      </c>
      <c r="AC30" s="22" t="s">
        <v>356</v>
      </c>
      <c r="AD30" s="24" t="s">
        <v>377</v>
      </c>
      <c r="AE30" s="29" t="n">
        <f aca="false">Z30+IF(OR(G30="EN",G30="EN (+DE artı)"),1,0)</f>
        <v>0.71</v>
      </c>
    </row>
    <row r="31" customFormat="false" ht="75" hidden="false" customHeight="true" outlineLevel="0" collapsed="false">
      <c r="A31" s="22" t="n">
        <v>27</v>
      </c>
      <c r="B31" s="22" t="s">
        <v>378</v>
      </c>
      <c r="C31" s="22" t="s">
        <v>379</v>
      </c>
      <c r="D31" s="22" t="s">
        <v>380</v>
      </c>
      <c r="E31" s="22" t="s">
        <v>381</v>
      </c>
      <c r="F31" s="22" t="s">
        <v>171</v>
      </c>
      <c r="G31" s="22" t="s">
        <v>50</v>
      </c>
      <c r="H31" s="22" t="s">
        <v>277</v>
      </c>
      <c r="I31" s="22" t="s">
        <v>119</v>
      </c>
      <c r="J31" s="22" t="s">
        <v>120</v>
      </c>
      <c r="K31" s="22" t="s">
        <v>382</v>
      </c>
      <c r="L31" s="22" t="s">
        <v>155</v>
      </c>
      <c r="M31" s="22" t="s">
        <v>138</v>
      </c>
      <c r="N31" s="23" t="s">
        <v>383</v>
      </c>
      <c r="O31" s="22" t="s">
        <v>125</v>
      </c>
      <c r="P31" s="22"/>
      <c r="Q31" s="22" t="s">
        <v>384</v>
      </c>
      <c r="R31" s="22" t="s">
        <v>385</v>
      </c>
      <c r="S31" s="22" t="s">
        <v>386</v>
      </c>
      <c r="T31" s="25" t="n">
        <v>4.5</v>
      </c>
      <c r="U31" s="25" t="n">
        <v>5</v>
      </c>
      <c r="V31" s="25" t="n">
        <v>1.5</v>
      </c>
      <c r="W31" s="25" t="n">
        <v>4</v>
      </c>
      <c r="X31" s="25" t="n">
        <v>3</v>
      </c>
      <c r="Y31" s="25" t="n">
        <v>5</v>
      </c>
      <c r="Z31" s="26" t="n">
        <f aca="false">ROUND((T31*Özet!$C$14+U31*Özet!$C$15+V31*Özet!$C$16+W31*Özet!$C$17+X31*Özet!$C$18+Y31*Özet!$C$19)/5,4)</f>
        <v>0.71</v>
      </c>
      <c r="AA31" s="27" t="n">
        <f aca="false">RANK(AE31,$AE$5:$AE$126)+COUNTIF($AE$5:AE31,AE31)-1</f>
        <v>27</v>
      </c>
      <c r="AB31" s="28" t="str">
        <f aca="false">IF(AND(OR(G31="EN",G31="EN (+DE artı)"),Z31&gt;=0.7),"A – Hemen başvur (İngilizce)",IF(Z31&gt;=0.7,"B – Başvur (Almanca gerekli)",IF(AND(OR(G31="EN",G31="EN (+DE artı)"),Z31&gt;=0.6),"B – Başvur (İngilizce)","C – Opsiyonel")))</f>
        <v>B – Başvur (Almanca gerekli)</v>
      </c>
      <c r="AC31" s="22" t="s">
        <v>302</v>
      </c>
      <c r="AD31" s="24" t="s">
        <v>387</v>
      </c>
      <c r="AE31" s="29" t="n">
        <f aca="false">Z31+IF(OR(G31="EN",G31="EN (+DE artı)"),1,0)</f>
        <v>0.71</v>
      </c>
    </row>
    <row r="32" customFormat="false" ht="75" hidden="false" customHeight="true" outlineLevel="0" collapsed="false">
      <c r="A32" s="22" t="n">
        <v>28</v>
      </c>
      <c r="B32" s="22" t="s">
        <v>388</v>
      </c>
      <c r="C32" s="22" t="s">
        <v>389</v>
      </c>
      <c r="D32" s="22" t="s">
        <v>390</v>
      </c>
      <c r="E32" s="22" t="s">
        <v>116</v>
      </c>
      <c r="F32" s="22" t="s">
        <v>223</v>
      </c>
      <c r="G32" s="22" t="s">
        <v>50</v>
      </c>
      <c r="H32" s="22" t="s">
        <v>277</v>
      </c>
      <c r="I32" s="22" t="s">
        <v>119</v>
      </c>
      <c r="J32" s="22" t="s">
        <v>120</v>
      </c>
      <c r="K32" s="22" t="s">
        <v>350</v>
      </c>
      <c r="L32" s="22" t="s">
        <v>214</v>
      </c>
      <c r="M32" s="22" t="s">
        <v>138</v>
      </c>
      <c r="N32" s="23" t="s">
        <v>391</v>
      </c>
      <c r="O32" s="22" t="s">
        <v>149</v>
      </c>
      <c r="P32" s="24" t="s">
        <v>392</v>
      </c>
      <c r="Q32" s="22" t="s">
        <v>393</v>
      </c>
      <c r="R32" s="22" t="s">
        <v>394</v>
      </c>
      <c r="S32" s="22" t="s">
        <v>395</v>
      </c>
      <c r="T32" s="25" t="n">
        <v>4</v>
      </c>
      <c r="U32" s="25" t="n">
        <v>4.5</v>
      </c>
      <c r="V32" s="25" t="n">
        <v>1.5</v>
      </c>
      <c r="W32" s="25" t="n">
        <v>4</v>
      </c>
      <c r="X32" s="25" t="n">
        <v>5</v>
      </c>
      <c r="Y32" s="25" t="n">
        <v>4.5</v>
      </c>
      <c r="Z32" s="26" t="n">
        <f aca="false">ROUND((T32*Özet!$C$14+U32*Özet!$C$15+V32*Özet!$C$16+W32*Özet!$C$17+X32*Özet!$C$18+Y32*Özet!$C$19)/5,4)</f>
        <v>0.695</v>
      </c>
      <c r="AA32" s="27" t="n">
        <f aca="false">RANK(AE32,$AE$5:$AE$126)+COUNTIF($AE$5:AE32,AE32)-1</f>
        <v>28</v>
      </c>
      <c r="AB32" s="28" t="str">
        <f aca="false">IF(AND(OR(G32="EN",G32="EN (+DE artı)"),Z32&gt;=0.7),"A – Hemen başvur (İngilizce)",IF(Z32&gt;=0.7,"B – Başvur (Almanca gerekli)",IF(AND(OR(G32="EN",G32="EN (+DE artı)"),Z32&gt;=0.6),"B – Başvur (İngilizce)","C – Opsiyonel")))</f>
        <v>C – Opsiyonel</v>
      </c>
      <c r="AC32" s="22" t="s">
        <v>302</v>
      </c>
      <c r="AD32" s="24" t="s">
        <v>396</v>
      </c>
      <c r="AE32" s="29" t="n">
        <f aca="false">Z32+IF(OR(G32="EN",G32="EN (+DE artı)"),1,0)</f>
        <v>0.695</v>
      </c>
    </row>
    <row r="33" customFormat="false" ht="75" hidden="false" customHeight="true" outlineLevel="0" collapsed="false">
      <c r="A33" s="22" t="n">
        <v>29</v>
      </c>
      <c r="B33" s="22" t="s">
        <v>397</v>
      </c>
      <c r="C33" s="22" t="s">
        <v>398</v>
      </c>
      <c r="D33" s="22" t="s">
        <v>399</v>
      </c>
      <c r="E33" s="22" t="s">
        <v>200</v>
      </c>
      <c r="F33" s="22" t="s">
        <v>162</v>
      </c>
      <c r="G33" s="22" t="s">
        <v>50</v>
      </c>
      <c r="H33" s="22" t="s">
        <v>277</v>
      </c>
      <c r="I33" s="22" t="s">
        <v>119</v>
      </c>
      <c r="J33" s="22" t="s">
        <v>120</v>
      </c>
      <c r="K33" s="22" t="s">
        <v>136</v>
      </c>
      <c r="L33" s="22" t="s">
        <v>400</v>
      </c>
      <c r="M33" s="22" t="s">
        <v>138</v>
      </c>
      <c r="N33" s="23" t="s">
        <v>401</v>
      </c>
      <c r="O33" s="22" t="s">
        <v>149</v>
      </c>
      <c r="P33" s="22"/>
      <c r="Q33" s="22" t="s">
        <v>402</v>
      </c>
      <c r="R33" s="22" t="s">
        <v>403</v>
      </c>
      <c r="S33" s="22" t="s">
        <v>219</v>
      </c>
      <c r="T33" s="25" t="n">
        <v>5</v>
      </c>
      <c r="U33" s="25" t="n">
        <v>5</v>
      </c>
      <c r="V33" s="25" t="n">
        <v>1.5</v>
      </c>
      <c r="W33" s="25" t="n">
        <v>4</v>
      </c>
      <c r="X33" s="25" t="n">
        <v>2</v>
      </c>
      <c r="Y33" s="25" t="n">
        <v>3.5</v>
      </c>
      <c r="Z33" s="26" t="n">
        <f aca="false">ROUND((T33*Özet!$C$14+U33*Özet!$C$15+V33*Özet!$C$16+W33*Özet!$C$17+X33*Özet!$C$18+Y33*Özet!$C$19)/5,4)</f>
        <v>0.69</v>
      </c>
      <c r="AA33" s="27" t="n">
        <f aca="false">RANK(AE33,$AE$5:$AE$126)+COUNTIF($AE$5:AE33,AE33)-1</f>
        <v>29</v>
      </c>
      <c r="AB33" s="28" t="str">
        <f aca="false">IF(AND(OR(G33="EN",G33="EN (+DE artı)"),Z33&gt;=0.7),"A – Hemen başvur (İngilizce)",IF(Z33&gt;=0.7,"B – Başvur (Almanca gerekli)",IF(AND(OR(G33="EN",G33="EN (+DE artı)"),Z33&gt;=0.6),"B – Başvur (İngilizce)","C – Opsiyonel")))</f>
        <v>C – Opsiyonel</v>
      </c>
      <c r="AC33" s="22" t="s">
        <v>302</v>
      </c>
      <c r="AD33" s="24" t="s">
        <v>404</v>
      </c>
      <c r="AE33" s="29" t="n">
        <f aca="false">Z33+IF(OR(G33="EN",G33="EN (+DE artı)"),1,0)</f>
        <v>0.69</v>
      </c>
    </row>
    <row r="34" customFormat="false" ht="75" hidden="false" customHeight="true" outlineLevel="0" collapsed="false">
      <c r="A34" s="22" t="n">
        <v>30</v>
      </c>
      <c r="B34" s="22" t="s">
        <v>405</v>
      </c>
      <c r="C34" s="22" t="s">
        <v>406</v>
      </c>
      <c r="D34" s="22" t="s">
        <v>407</v>
      </c>
      <c r="E34" s="22" t="s">
        <v>230</v>
      </c>
      <c r="F34" s="22" t="s">
        <v>223</v>
      </c>
      <c r="G34" s="22" t="s">
        <v>44</v>
      </c>
      <c r="H34" s="22" t="s">
        <v>408</v>
      </c>
      <c r="I34" s="22" t="s">
        <v>119</v>
      </c>
      <c r="J34" s="22" t="s">
        <v>232</v>
      </c>
      <c r="K34" s="22" t="s">
        <v>409</v>
      </c>
      <c r="L34" s="22" t="s">
        <v>260</v>
      </c>
      <c r="M34" s="22" t="s">
        <v>138</v>
      </c>
      <c r="N34" s="23" t="s">
        <v>410</v>
      </c>
      <c r="O34" s="22" t="s">
        <v>149</v>
      </c>
      <c r="P34" s="22"/>
      <c r="Q34" s="22" t="s">
        <v>411</v>
      </c>
      <c r="R34" s="22" t="s">
        <v>412</v>
      </c>
      <c r="S34" s="22" t="s">
        <v>219</v>
      </c>
      <c r="T34" s="25" t="n">
        <v>4.5</v>
      </c>
      <c r="U34" s="25" t="n">
        <v>4</v>
      </c>
      <c r="V34" s="25" t="n">
        <v>2</v>
      </c>
      <c r="W34" s="25" t="n">
        <v>4</v>
      </c>
      <c r="X34" s="25" t="n">
        <v>4</v>
      </c>
      <c r="Y34" s="25" t="n">
        <v>3</v>
      </c>
      <c r="Z34" s="26" t="n">
        <f aca="false">ROUND((T34*Özet!$C$14+U34*Özet!$C$15+V34*Özet!$C$16+W34*Özet!$C$17+X34*Özet!$C$18+Y34*Özet!$C$19)/5,4)</f>
        <v>0.69</v>
      </c>
      <c r="AA34" s="27" t="n">
        <f aca="false">RANK(AE34,$AE$5:$AE$126)+COUNTIF($AE$5:AE34,AE34)-1</f>
        <v>30</v>
      </c>
      <c r="AB34" s="28" t="str">
        <f aca="false">IF(AND(OR(G34="EN",G34="EN (+DE artı)"),Z34&gt;=0.7),"A – Hemen başvur (İngilizce)",IF(Z34&gt;=0.7,"B – Başvur (Almanca gerekli)",IF(AND(OR(G34="EN",G34="EN (+DE artı)"),Z34&gt;=0.6),"B – Başvur (İngilizce)","C – Opsiyonel")))</f>
        <v>C – Opsiyonel</v>
      </c>
      <c r="AC34" s="22" t="s">
        <v>413</v>
      </c>
      <c r="AD34" s="24" t="s">
        <v>414</v>
      </c>
      <c r="AE34" s="29" t="n">
        <f aca="false">Z34+IF(OR(G34="EN",G34="EN (+DE artı)"),1,0)</f>
        <v>0.69</v>
      </c>
    </row>
    <row r="35" customFormat="false" ht="75" hidden="false" customHeight="true" outlineLevel="0" collapsed="false">
      <c r="A35" s="22" t="n">
        <v>31</v>
      </c>
      <c r="B35" s="22" t="s">
        <v>346</v>
      </c>
      <c r="C35" s="22" t="s">
        <v>415</v>
      </c>
      <c r="D35" s="22" t="s">
        <v>416</v>
      </c>
      <c r="E35" s="22" t="s">
        <v>116</v>
      </c>
      <c r="F35" s="22" t="s">
        <v>248</v>
      </c>
      <c r="G35" s="22" t="s">
        <v>44</v>
      </c>
      <c r="H35" s="22" t="s">
        <v>417</v>
      </c>
      <c r="I35" s="22" t="s">
        <v>119</v>
      </c>
      <c r="J35" s="22" t="s">
        <v>120</v>
      </c>
      <c r="K35" s="22" t="s">
        <v>418</v>
      </c>
      <c r="L35" s="22" t="s">
        <v>260</v>
      </c>
      <c r="M35" s="22" t="s">
        <v>138</v>
      </c>
      <c r="N35" s="23" t="s">
        <v>419</v>
      </c>
      <c r="O35" s="22" t="s">
        <v>125</v>
      </c>
      <c r="P35" s="24" t="s">
        <v>420</v>
      </c>
      <c r="Q35" s="22" t="s">
        <v>421</v>
      </c>
      <c r="R35" s="22" t="s">
        <v>422</v>
      </c>
      <c r="S35" s="22" t="s">
        <v>219</v>
      </c>
      <c r="T35" s="25" t="n">
        <v>3.5</v>
      </c>
      <c r="U35" s="25" t="n">
        <v>4.5</v>
      </c>
      <c r="V35" s="25" t="n">
        <v>2</v>
      </c>
      <c r="W35" s="25" t="n">
        <v>5</v>
      </c>
      <c r="X35" s="25" t="n">
        <v>5</v>
      </c>
      <c r="Y35" s="25" t="n">
        <v>3.5</v>
      </c>
      <c r="Z35" s="26" t="n">
        <f aca="false">ROUND((T35*Özet!$C$14+U35*Özet!$C$15+V35*Özet!$C$16+W35*Özet!$C$17+X35*Özet!$C$18+Y35*Özet!$C$19)/5,4)</f>
        <v>0.685</v>
      </c>
      <c r="AA35" s="27" t="n">
        <f aca="false">RANK(AE35,$AE$5:$AE$126)+COUNTIF($AE$5:AE35,AE35)-1</f>
        <v>31</v>
      </c>
      <c r="AB35" s="28" t="str">
        <f aca="false">IF(AND(OR(G35="EN",G35="EN (+DE artı)"),Z35&gt;=0.7),"A – Hemen başvur (İngilizce)",IF(Z35&gt;=0.7,"B – Başvur (Almanca gerekli)",IF(AND(OR(G35="EN",G35="EN (+DE artı)"),Z35&gt;=0.6),"B – Başvur (İngilizce)","C – Opsiyonel")))</f>
        <v>C – Opsiyonel</v>
      </c>
      <c r="AC35" s="22" t="s">
        <v>312</v>
      </c>
      <c r="AD35" s="24" t="s">
        <v>357</v>
      </c>
      <c r="AE35" s="29" t="n">
        <f aca="false">Z35+IF(OR(G35="EN",G35="EN (+DE artı)"),1,0)</f>
        <v>0.685</v>
      </c>
    </row>
    <row r="36" customFormat="false" ht="75" hidden="false" customHeight="true" outlineLevel="0" collapsed="false">
      <c r="A36" s="22" t="n">
        <v>32</v>
      </c>
      <c r="B36" s="22" t="s">
        <v>423</v>
      </c>
      <c r="C36" s="22" t="s">
        <v>424</v>
      </c>
      <c r="D36" s="22" t="s">
        <v>297</v>
      </c>
      <c r="E36" s="22" t="s">
        <v>116</v>
      </c>
      <c r="F36" s="22" t="s">
        <v>117</v>
      </c>
      <c r="G36" s="22" t="s">
        <v>50</v>
      </c>
      <c r="H36" s="22" t="s">
        <v>277</v>
      </c>
      <c r="I36" s="22" t="s">
        <v>119</v>
      </c>
      <c r="J36" s="22" t="s">
        <v>120</v>
      </c>
      <c r="K36" s="22" t="s">
        <v>136</v>
      </c>
      <c r="L36" s="22" t="s">
        <v>269</v>
      </c>
      <c r="M36" s="22" t="s">
        <v>138</v>
      </c>
      <c r="N36" s="23" t="s">
        <v>425</v>
      </c>
      <c r="O36" s="22" t="s">
        <v>149</v>
      </c>
      <c r="P36" s="22"/>
      <c r="Q36" s="22" t="s">
        <v>426</v>
      </c>
      <c r="R36" s="22" t="s">
        <v>427</v>
      </c>
      <c r="S36" s="22" t="s">
        <v>428</v>
      </c>
      <c r="T36" s="25" t="n">
        <v>4</v>
      </c>
      <c r="U36" s="25" t="n">
        <v>5</v>
      </c>
      <c r="V36" s="25" t="n">
        <v>1.5</v>
      </c>
      <c r="W36" s="25" t="n">
        <v>3.5</v>
      </c>
      <c r="X36" s="25" t="n">
        <v>5</v>
      </c>
      <c r="Y36" s="25" t="n">
        <v>3.5</v>
      </c>
      <c r="Z36" s="26" t="n">
        <f aca="false">ROUND((T36*Özet!$C$14+U36*Özet!$C$15+V36*Özet!$C$16+W36*Özet!$C$17+X36*Özet!$C$18+Y36*Özet!$C$19)/5,4)</f>
        <v>0.685</v>
      </c>
      <c r="AA36" s="27" t="n">
        <f aca="false">RANK(AE36,$AE$5:$AE$126)+COUNTIF($AE$5:AE36,AE36)-1</f>
        <v>32</v>
      </c>
      <c r="AB36" s="28" t="str">
        <f aca="false">IF(AND(OR(G36="EN",G36="EN (+DE artı)"),Z36&gt;=0.7),"A – Hemen başvur (İngilizce)",IF(Z36&gt;=0.7,"B – Başvur (Almanca gerekli)",IF(AND(OR(G36="EN",G36="EN (+DE artı)"),Z36&gt;=0.6),"B – Başvur (İngilizce)","C – Opsiyonel")))</f>
        <v>C – Opsiyonel</v>
      </c>
      <c r="AC36" s="22" t="s">
        <v>302</v>
      </c>
      <c r="AD36" s="24" t="s">
        <v>429</v>
      </c>
      <c r="AE36" s="29" t="n">
        <f aca="false">Z36+IF(OR(G36="EN",G36="EN (+DE artı)"),1,0)</f>
        <v>0.685</v>
      </c>
    </row>
    <row r="37" customFormat="false" ht="75" hidden="false" customHeight="true" outlineLevel="0" collapsed="false">
      <c r="A37" s="22" t="n">
        <v>33</v>
      </c>
      <c r="B37" s="22" t="s">
        <v>430</v>
      </c>
      <c r="C37" s="22" t="s">
        <v>431</v>
      </c>
      <c r="D37" s="22" t="s">
        <v>258</v>
      </c>
      <c r="E37" s="22" t="s">
        <v>116</v>
      </c>
      <c r="F37" s="22" t="s">
        <v>360</v>
      </c>
      <c r="G37" s="22" t="s">
        <v>50</v>
      </c>
      <c r="H37" s="22" t="s">
        <v>277</v>
      </c>
      <c r="I37" s="22" t="s">
        <v>119</v>
      </c>
      <c r="J37" s="22" t="s">
        <v>120</v>
      </c>
      <c r="K37" s="22" t="s">
        <v>136</v>
      </c>
      <c r="L37" s="22" t="s">
        <v>147</v>
      </c>
      <c r="M37" s="22" t="s">
        <v>183</v>
      </c>
      <c r="N37" s="23" t="s">
        <v>432</v>
      </c>
      <c r="O37" s="22" t="s">
        <v>125</v>
      </c>
      <c r="P37" s="22"/>
      <c r="Q37" s="22" t="s">
        <v>433</v>
      </c>
      <c r="R37" s="22" t="s">
        <v>434</v>
      </c>
      <c r="S37" s="22" t="s">
        <v>435</v>
      </c>
      <c r="T37" s="25" t="n">
        <v>4</v>
      </c>
      <c r="U37" s="25" t="n">
        <v>5</v>
      </c>
      <c r="V37" s="25" t="n">
        <v>1.5</v>
      </c>
      <c r="W37" s="25" t="n">
        <v>3.5</v>
      </c>
      <c r="X37" s="25" t="n">
        <v>5</v>
      </c>
      <c r="Y37" s="25" t="n">
        <v>3.5</v>
      </c>
      <c r="Z37" s="26" t="n">
        <f aca="false">ROUND((T37*Özet!$C$14+U37*Özet!$C$15+V37*Özet!$C$16+W37*Özet!$C$17+X37*Özet!$C$18+Y37*Özet!$C$19)/5,4)</f>
        <v>0.685</v>
      </c>
      <c r="AA37" s="27" t="n">
        <f aca="false">RANK(AE37,$AE$5:$AE$126)+COUNTIF($AE$5:AE37,AE37)-1</f>
        <v>33</v>
      </c>
      <c r="AB37" s="28" t="str">
        <f aca="false">IF(AND(OR(G37="EN",G37="EN (+DE artı)"),Z37&gt;=0.7),"A – Hemen başvur (İngilizce)",IF(Z37&gt;=0.7,"B – Başvur (Almanca gerekli)",IF(AND(OR(G37="EN",G37="EN (+DE artı)"),Z37&gt;=0.6),"B – Başvur (İngilizce)","C – Opsiyonel")))</f>
        <v>C – Opsiyonel</v>
      </c>
      <c r="AC37" s="22" t="s">
        <v>302</v>
      </c>
      <c r="AD37" s="24" t="s">
        <v>436</v>
      </c>
      <c r="AE37" s="29" t="n">
        <f aca="false">Z37+IF(OR(G37="EN",G37="EN (+DE artı)"),1,0)</f>
        <v>0.685</v>
      </c>
    </row>
    <row r="38" customFormat="false" ht="75" hidden="false" customHeight="true" outlineLevel="0" collapsed="false">
      <c r="A38" s="22" t="n">
        <v>34</v>
      </c>
      <c r="B38" s="22" t="s">
        <v>437</v>
      </c>
      <c r="C38" s="22" t="s">
        <v>438</v>
      </c>
      <c r="D38" s="22" t="s">
        <v>439</v>
      </c>
      <c r="E38" s="22" t="s">
        <v>116</v>
      </c>
      <c r="F38" s="22" t="s">
        <v>171</v>
      </c>
      <c r="G38" s="22" t="s">
        <v>52</v>
      </c>
      <c r="H38" s="22" t="s">
        <v>440</v>
      </c>
      <c r="I38" s="22" t="s">
        <v>119</v>
      </c>
      <c r="J38" s="22" t="s">
        <v>120</v>
      </c>
      <c r="K38" s="22" t="s">
        <v>136</v>
      </c>
      <c r="L38" s="22" t="s">
        <v>182</v>
      </c>
      <c r="M38" s="22" t="s">
        <v>183</v>
      </c>
      <c r="N38" s="23" t="s">
        <v>441</v>
      </c>
      <c r="O38" s="22" t="s">
        <v>125</v>
      </c>
      <c r="P38" s="22"/>
      <c r="Q38" s="22" t="s">
        <v>442</v>
      </c>
      <c r="R38" s="22" t="s">
        <v>443</v>
      </c>
      <c r="S38" s="22" t="s">
        <v>444</v>
      </c>
      <c r="T38" s="25" t="n">
        <v>4.5</v>
      </c>
      <c r="U38" s="25" t="n">
        <v>5</v>
      </c>
      <c r="V38" s="25" t="n">
        <v>1</v>
      </c>
      <c r="W38" s="25" t="n">
        <v>3.5</v>
      </c>
      <c r="X38" s="25" t="n">
        <v>5</v>
      </c>
      <c r="Y38" s="25" t="n">
        <v>3.5</v>
      </c>
      <c r="Z38" s="26" t="n">
        <f aca="false">ROUND((T38*Özet!$C$14+U38*Özet!$C$15+V38*Özet!$C$16+W38*Özet!$C$17+X38*Özet!$C$18+Y38*Özet!$C$19)/5,4)</f>
        <v>0.685</v>
      </c>
      <c r="AA38" s="27" t="n">
        <f aca="false">RANK(AE38,$AE$5:$AE$126)+COUNTIF($AE$5:AE38,AE38)-1</f>
        <v>34</v>
      </c>
      <c r="AB38" s="28" t="str">
        <f aca="false">IF(AND(OR(G38="EN",G38="EN (+DE artı)"),Z38&gt;=0.7),"A – Hemen başvur (İngilizce)",IF(Z38&gt;=0.7,"B – Başvur (Almanca gerekli)",IF(AND(OR(G38="EN",G38="EN (+DE artı)"),Z38&gt;=0.6),"B – Başvur (İngilizce)","C – Opsiyonel")))</f>
        <v>C – Opsiyonel</v>
      </c>
      <c r="AC38" s="22" t="s">
        <v>445</v>
      </c>
      <c r="AD38" s="24" t="s">
        <v>446</v>
      </c>
      <c r="AE38" s="29" t="n">
        <f aca="false">Z38+IF(OR(G38="EN",G38="EN (+DE artı)"),1,0)</f>
        <v>0.685</v>
      </c>
    </row>
    <row r="39" customFormat="false" ht="75" hidden="false" customHeight="true" outlineLevel="0" collapsed="false">
      <c r="A39" s="22" t="n">
        <v>35</v>
      </c>
      <c r="B39" s="22" t="s">
        <v>346</v>
      </c>
      <c r="C39" s="22" t="s">
        <v>447</v>
      </c>
      <c r="D39" s="22" t="s">
        <v>416</v>
      </c>
      <c r="E39" s="22" t="s">
        <v>116</v>
      </c>
      <c r="F39" s="22" t="s">
        <v>171</v>
      </c>
      <c r="G39" s="22" t="s">
        <v>52</v>
      </c>
      <c r="H39" s="22" t="s">
        <v>448</v>
      </c>
      <c r="I39" s="22" t="s">
        <v>119</v>
      </c>
      <c r="J39" s="22" t="s">
        <v>120</v>
      </c>
      <c r="K39" s="22" t="s">
        <v>449</v>
      </c>
      <c r="L39" s="22" t="s">
        <v>122</v>
      </c>
      <c r="M39" s="22" t="s">
        <v>138</v>
      </c>
      <c r="N39" s="23" t="s">
        <v>450</v>
      </c>
      <c r="O39" s="22" t="s">
        <v>149</v>
      </c>
      <c r="P39" s="24" t="s">
        <v>451</v>
      </c>
      <c r="Q39" s="22" t="s">
        <v>452</v>
      </c>
      <c r="R39" s="22" t="s">
        <v>453</v>
      </c>
      <c r="S39" s="22" t="s">
        <v>454</v>
      </c>
      <c r="T39" s="25" t="n">
        <v>4</v>
      </c>
      <c r="U39" s="25" t="n">
        <v>5</v>
      </c>
      <c r="V39" s="25" t="n">
        <v>1</v>
      </c>
      <c r="W39" s="25" t="n">
        <v>5</v>
      </c>
      <c r="X39" s="25" t="n">
        <v>5</v>
      </c>
      <c r="Y39" s="25" t="n">
        <v>4</v>
      </c>
      <c r="Z39" s="26" t="n">
        <f aca="false">ROUND((T39*Özet!$C$14+U39*Özet!$C$15+V39*Özet!$C$16+W39*Özet!$C$17+X39*Özet!$C$18+Y39*Özet!$C$19)/5,4)</f>
        <v>0.68</v>
      </c>
      <c r="AA39" s="27" t="n">
        <f aca="false">RANK(AE39,$AE$5:$AE$126)+COUNTIF($AE$5:AE39,AE39)-1</f>
        <v>35</v>
      </c>
      <c r="AB39" s="28" t="str">
        <f aca="false">IF(AND(OR(G39="EN",G39="EN (+DE artı)"),Z39&gt;=0.7),"A – Hemen başvur (İngilizce)",IF(Z39&gt;=0.7,"B – Başvur (Almanca gerekli)",IF(AND(OR(G39="EN",G39="EN (+DE artı)"),Z39&gt;=0.6),"B – Başvur (İngilizce)","C – Opsiyonel")))</f>
        <v>C – Opsiyonel</v>
      </c>
      <c r="AC39" s="22" t="s">
        <v>356</v>
      </c>
      <c r="AD39" s="24" t="s">
        <v>357</v>
      </c>
      <c r="AE39" s="29" t="n">
        <f aca="false">Z39+IF(OR(G39="EN",G39="EN (+DE artı)"),1,0)</f>
        <v>0.68</v>
      </c>
    </row>
    <row r="40" customFormat="false" ht="75" hidden="false" customHeight="true" outlineLevel="0" collapsed="false">
      <c r="A40" s="22" t="n">
        <v>36</v>
      </c>
      <c r="B40" s="22" t="s">
        <v>455</v>
      </c>
      <c r="C40" s="22" t="s">
        <v>456</v>
      </c>
      <c r="D40" s="22" t="s">
        <v>390</v>
      </c>
      <c r="E40" s="22" t="s">
        <v>116</v>
      </c>
      <c r="F40" s="22" t="s">
        <v>223</v>
      </c>
      <c r="G40" s="22" t="s">
        <v>44</v>
      </c>
      <c r="H40" s="22" t="s">
        <v>457</v>
      </c>
      <c r="I40" s="22" t="s">
        <v>119</v>
      </c>
      <c r="J40" s="22" t="s">
        <v>232</v>
      </c>
      <c r="K40" s="22" t="s">
        <v>458</v>
      </c>
      <c r="L40" s="22" t="s">
        <v>339</v>
      </c>
      <c r="M40" s="22" t="s">
        <v>138</v>
      </c>
      <c r="N40" s="23" t="s">
        <v>459</v>
      </c>
      <c r="O40" s="22" t="s">
        <v>149</v>
      </c>
      <c r="P40" s="22"/>
      <c r="Q40" s="22" t="s">
        <v>460</v>
      </c>
      <c r="R40" s="22" t="s">
        <v>461</v>
      </c>
      <c r="S40" s="22" t="s">
        <v>462</v>
      </c>
      <c r="T40" s="25" t="n">
        <v>4</v>
      </c>
      <c r="U40" s="25" t="n">
        <v>4</v>
      </c>
      <c r="V40" s="25" t="n">
        <v>2</v>
      </c>
      <c r="W40" s="25" t="n">
        <v>3.5</v>
      </c>
      <c r="X40" s="25" t="n">
        <v>5</v>
      </c>
      <c r="Y40" s="25" t="n">
        <v>3</v>
      </c>
      <c r="Z40" s="26" t="n">
        <f aca="false">ROUND((T40*Özet!$C$14+U40*Özet!$C$15+V40*Özet!$C$16+W40*Özet!$C$17+X40*Özet!$C$18+Y40*Özet!$C$19)/5,4)</f>
        <v>0.675</v>
      </c>
      <c r="AA40" s="27" t="n">
        <f aca="false">RANK(AE40,$AE$5:$AE$126)+COUNTIF($AE$5:AE40,AE40)-1</f>
        <v>36</v>
      </c>
      <c r="AB40" s="28" t="str">
        <f aca="false">IF(AND(OR(G40="EN",G40="EN (+DE artı)"),Z40&gt;=0.7),"A – Hemen başvur (İngilizce)",IF(Z40&gt;=0.7,"B – Başvur (Almanca gerekli)",IF(AND(OR(G40="EN",G40="EN (+DE artı)"),Z40&gt;=0.6),"B – Başvur (İngilizce)","C – Opsiyonel")))</f>
        <v>C – Opsiyonel</v>
      </c>
      <c r="AC40" s="22" t="s">
        <v>312</v>
      </c>
      <c r="AD40" s="24" t="s">
        <v>463</v>
      </c>
      <c r="AE40" s="29" t="n">
        <f aca="false">Z40+IF(OR(G40="EN",G40="EN (+DE artı)"),1,0)</f>
        <v>0.675</v>
      </c>
    </row>
    <row r="41" customFormat="false" ht="75" hidden="false" customHeight="true" outlineLevel="0" collapsed="false">
      <c r="A41" s="22" t="n">
        <v>37</v>
      </c>
      <c r="B41" s="22" t="s">
        <v>464</v>
      </c>
      <c r="C41" s="22" t="s">
        <v>465</v>
      </c>
      <c r="D41" s="22" t="s">
        <v>466</v>
      </c>
      <c r="E41" s="22" t="s">
        <v>116</v>
      </c>
      <c r="F41" s="22" t="s">
        <v>223</v>
      </c>
      <c r="G41" s="22" t="s">
        <v>44</v>
      </c>
      <c r="H41" s="22" t="s">
        <v>277</v>
      </c>
      <c r="I41" s="22" t="s">
        <v>119</v>
      </c>
      <c r="J41" s="22" t="s">
        <v>120</v>
      </c>
      <c r="K41" s="22" t="s">
        <v>467</v>
      </c>
      <c r="L41" s="22" t="s">
        <v>339</v>
      </c>
      <c r="M41" s="22" t="s">
        <v>138</v>
      </c>
      <c r="N41" s="23" t="s">
        <v>468</v>
      </c>
      <c r="O41" s="22" t="s">
        <v>149</v>
      </c>
      <c r="P41" s="22"/>
      <c r="Q41" s="22" t="s">
        <v>469</v>
      </c>
      <c r="R41" s="22" t="s">
        <v>470</v>
      </c>
      <c r="S41" s="22" t="s">
        <v>471</v>
      </c>
      <c r="T41" s="25" t="n">
        <v>3</v>
      </c>
      <c r="U41" s="25" t="n">
        <v>4.5</v>
      </c>
      <c r="V41" s="25" t="n">
        <v>2</v>
      </c>
      <c r="W41" s="25" t="n">
        <v>4</v>
      </c>
      <c r="X41" s="25" t="n">
        <v>5</v>
      </c>
      <c r="Y41" s="25" t="n">
        <v>5</v>
      </c>
      <c r="Z41" s="26" t="n">
        <f aca="false">ROUND((T41*Özet!$C$14+U41*Özet!$C$15+V41*Özet!$C$16+W41*Özet!$C$17+X41*Özet!$C$18+Y41*Özet!$C$19)/5,4)</f>
        <v>0.675</v>
      </c>
      <c r="AA41" s="27" t="n">
        <f aca="false">RANK(AE41,$AE$5:$AE$126)+COUNTIF($AE$5:AE41,AE41)-1</f>
        <v>37</v>
      </c>
      <c r="AB41" s="28" t="str">
        <f aca="false">IF(AND(OR(G41="EN",G41="EN (+DE artı)"),Z41&gt;=0.7),"A – Hemen başvur (İngilizce)",IF(Z41&gt;=0.7,"B – Başvur (Almanca gerekli)",IF(AND(OR(G41="EN",G41="EN (+DE artı)"),Z41&gt;=0.6),"B – Başvur (İngilizce)","C – Opsiyonel")))</f>
        <v>C – Opsiyonel</v>
      </c>
      <c r="AC41" s="22" t="s">
        <v>312</v>
      </c>
      <c r="AD41" s="24" t="s">
        <v>472</v>
      </c>
      <c r="AE41" s="29" t="n">
        <f aca="false">Z41+IF(OR(G41="EN",G41="EN (+DE artı)"),1,0)</f>
        <v>0.675</v>
      </c>
    </row>
    <row r="42" customFormat="false" ht="75" hidden="false" customHeight="true" outlineLevel="0" collapsed="false">
      <c r="A42" s="22" t="n">
        <v>38</v>
      </c>
      <c r="B42" s="22" t="s">
        <v>473</v>
      </c>
      <c r="C42" s="22" t="s">
        <v>474</v>
      </c>
      <c r="D42" s="22" t="s">
        <v>466</v>
      </c>
      <c r="E42" s="22" t="s">
        <v>116</v>
      </c>
      <c r="F42" s="22" t="s">
        <v>117</v>
      </c>
      <c r="G42" s="22" t="s">
        <v>50</v>
      </c>
      <c r="H42" s="22" t="s">
        <v>277</v>
      </c>
      <c r="I42" s="22" t="s">
        <v>119</v>
      </c>
      <c r="J42" s="22" t="s">
        <v>120</v>
      </c>
      <c r="K42" s="22" t="s">
        <v>475</v>
      </c>
      <c r="L42" s="22" t="s">
        <v>155</v>
      </c>
      <c r="M42" s="22" t="s">
        <v>138</v>
      </c>
      <c r="N42" s="23" t="s">
        <v>476</v>
      </c>
      <c r="O42" s="22" t="s">
        <v>149</v>
      </c>
      <c r="P42" s="22"/>
      <c r="Q42" s="22" t="s">
        <v>477</v>
      </c>
      <c r="R42" s="22" t="s">
        <v>478</v>
      </c>
      <c r="S42" s="22" t="s">
        <v>479</v>
      </c>
      <c r="T42" s="25" t="n">
        <v>3.5</v>
      </c>
      <c r="U42" s="25" t="n">
        <v>5</v>
      </c>
      <c r="V42" s="25" t="n">
        <v>1.5</v>
      </c>
      <c r="W42" s="25" t="n">
        <v>3.5</v>
      </c>
      <c r="X42" s="25" t="n">
        <v>5</v>
      </c>
      <c r="Y42" s="25" t="n">
        <v>4.5</v>
      </c>
      <c r="Z42" s="26" t="n">
        <f aca="false">ROUND((T42*Özet!$C$14+U42*Özet!$C$15+V42*Özet!$C$16+W42*Özet!$C$17+X42*Özet!$C$18+Y42*Özet!$C$19)/5,4)</f>
        <v>0.675</v>
      </c>
      <c r="AA42" s="27" t="n">
        <f aca="false">RANK(AE42,$AE$5:$AE$126)+COUNTIF($AE$5:AE42,AE42)-1</f>
        <v>38</v>
      </c>
      <c r="AB42" s="28" t="str">
        <f aca="false">IF(AND(OR(G42="EN",G42="EN (+DE artı)"),Z42&gt;=0.7),"A – Hemen başvur (İngilizce)",IF(Z42&gt;=0.7,"B – Başvur (Almanca gerekli)",IF(AND(OR(G42="EN",G42="EN (+DE artı)"),Z42&gt;=0.6),"B – Başvur (İngilizce)","C – Opsiyonel")))</f>
        <v>C – Opsiyonel</v>
      </c>
      <c r="AC42" s="22" t="s">
        <v>480</v>
      </c>
      <c r="AD42" s="24" t="s">
        <v>481</v>
      </c>
      <c r="AE42" s="29" t="n">
        <f aca="false">Z42+IF(OR(G42="EN",G42="EN (+DE artı)"),1,0)</f>
        <v>0.675</v>
      </c>
    </row>
    <row r="43" customFormat="false" ht="75" hidden="false" customHeight="true" outlineLevel="0" collapsed="false">
      <c r="A43" s="22" t="n">
        <v>39</v>
      </c>
      <c r="B43" s="22" t="s">
        <v>482</v>
      </c>
      <c r="C43" s="22" t="s">
        <v>483</v>
      </c>
      <c r="D43" s="22" t="s">
        <v>181</v>
      </c>
      <c r="E43" s="22" t="s">
        <v>116</v>
      </c>
      <c r="F43" s="22" t="s">
        <v>117</v>
      </c>
      <c r="G43" s="22" t="s">
        <v>47</v>
      </c>
      <c r="H43" s="22" t="s">
        <v>484</v>
      </c>
      <c r="I43" s="22" t="s">
        <v>119</v>
      </c>
      <c r="J43" s="22" t="s">
        <v>120</v>
      </c>
      <c r="K43" s="22" t="s">
        <v>485</v>
      </c>
      <c r="L43" s="22" t="s">
        <v>486</v>
      </c>
      <c r="M43" s="22" t="s">
        <v>183</v>
      </c>
      <c r="N43" s="23" t="s">
        <v>487</v>
      </c>
      <c r="O43" s="22" t="s">
        <v>125</v>
      </c>
      <c r="P43" s="22"/>
      <c r="Q43" s="22" t="s">
        <v>488</v>
      </c>
      <c r="R43" s="22" t="s">
        <v>489</v>
      </c>
      <c r="S43" s="22" t="s">
        <v>490</v>
      </c>
      <c r="T43" s="25" t="n">
        <v>3</v>
      </c>
      <c r="U43" s="25" t="n">
        <v>5</v>
      </c>
      <c r="V43" s="25" t="n">
        <v>1.5</v>
      </c>
      <c r="W43" s="25" t="n">
        <v>4</v>
      </c>
      <c r="X43" s="25" t="n">
        <v>5</v>
      </c>
      <c r="Y43" s="25" t="n">
        <v>5</v>
      </c>
      <c r="Z43" s="26" t="n">
        <f aca="false">ROUND((T43*Özet!$C$14+U43*Özet!$C$15+V43*Özet!$C$16+W43*Özet!$C$17+X43*Özet!$C$18+Y43*Özet!$C$19)/5,4)</f>
        <v>0.66</v>
      </c>
      <c r="AA43" s="27" t="n">
        <f aca="false">RANK(AE43,$AE$5:$AE$126)+COUNTIF($AE$5:AE43,AE43)-1</f>
        <v>39</v>
      </c>
      <c r="AB43" s="28" t="str">
        <f aca="false">IF(AND(OR(G43="EN",G43="EN (+DE artı)"),Z43&gt;=0.7),"A – Hemen başvur (İngilizce)",IF(Z43&gt;=0.7,"B – Başvur (Almanca gerekli)",IF(AND(OR(G43="EN",G43="EN (+DE artı)"),Z43&gt;=0.6),"B – Başvur (İngilizce)","C – Opsiyonel")))</f>
        <v>C – Opsiyonel</v>
      </c>
      <c r="AC43" s="22" t="s">
        <v>130</v>
      </c>
      <c r="AD43" s="24" t="s">
        <v>491</v>
      </c>
      <c r="AE43" s="29" t="n">
        <f aca="false">Z43+IF(OR(G43="EN",G43="EN (+DE artı)"),1,0)</f>
        <v>0.66</v>
      </c>
    </row>
    <row r="44" customFormat="false" ht="75" hidden="false" customHeight="true" outlineLevel="0" collapsed="false">
      <c r="A44" s="22" t="n">
        <v>40</v>
      </c>
      <c r="B44" s="22" t="s">
        <v>388</v>
      </c>
      <c r="C44" s="22" t="s">
        <v>492</v>
      </c>
      <c r="D44" s="22" t="s">
        <v>297</v>
      </c>
      <c r="E44" s="22" t="s">
        <v>116</v>
      </c>
      <c r="F44" s="22" t="s">
        <v>223</v>
      </c>
      <c r="G44" s="22" t="s">
        <v>52</v>
      </c>
      <c r="H44" s="22" t="s">
        <v>493</v>
      </c>
      <c r="I44" s="22" t="s">
        <v>119</v>
      </c>
      <c r="J44" s="22" t="s">
        <v>120</v>
      </c>
      <c r="K44" s="22" t="s">
        <v>494</v>
      </c>
      <c r="L44" s="22" t="s">
        <v>339</v>
      </c>
      <c r="M44" s="22" t="s">
        <v>138</v>
      </c>
      <c r="N44" s="23" t="s">
        <v>495</v>
      </c>
      <c r="O44" s="22" t="s">
        <v>149</v>
      </c>
      <c r="P44" s="24" t="s">
        <v>496</v>
      </c>
      <c r="Q44" s="22" t="s">
        <v>497</v>
      </c>
      <c r="R44" s="22" t="s">
        <v>498</v>
      </c>
      <c r="S44" s="22" t="s">
        <v>355</v>
      </c>
      <c r="T44" s="25" t="n">
        <v>4</v>
      </c>
      <c r="U44" s="25" t="n">
        <v>4.5</v>
      </c>
      <c r="V44" s="25" t="n">
        <v>1</v>
      </c>
      <c r="W44" s="25" t="n">
        <v>4</v>
      </c>
      <c r="X44" s="25" t="n">
        <v>5</v>
      </c>
      <c r="Y44" s="25" t="n">
        <v>4</v>
      </c>
      <c r="Z44" s="26" t="n">
        <f aca="false">ROUND((T44*Özet!$C$14+U44*Özet!$C$15+V44*Özet!$C$16+W44*Özet!$C$17+X44*Özet!$C$18+Y44*Özet!$C$19)/5,4)</f>
        <v>0.655</v>
      </c>
      <c r="AA44" s="27" t="n">
        <f aca="false">RANK(AE44,$AE$5:$AE$126)+COUNTIF($AE$5:AE44,AE44)-1</f>
        <v>40</v>
      </c>
      <c r="AB44" s="28" t="str">
        <f aca="false">IF(AND(OR(G44="EN",G44="EN (+DE artı)"),Z44&gt;=0.7),"A – Hemen başvur (İngilizce)",IF(Z44&gt;=0.7,"B – Başvur (Almanca gerekli)",IF(AND(OR(G44="EN",G44="EN (+DE artı)"),Z44&gt;=0.6),"B – Başvur (İngilizce)","C – Opsiyonel")))</f>
        <v>C – Opsiyonel</v>
      </c>
      <c r="AC44" s="22" t="s">
        <v>356</v>
      </c>
      <c r="AD44" s="24" t="s">
        <v>396</v>
      </c>
      <c r="AE44" s="29" t="n">
        <f aca="false">Z44+IF(OR(G44="EN",G44="EN (+DE artı)"),1,0)</f>
        <v>0.655</v>
      </c>
    </row>
    <row r="45" customFormat="false" ht="75" hidden="false" customHeight="true" outlineLevel="0" collapsed="false">
      <c r="A45" s="22" t="n">
        <v>41</v>
      </c>
      <c r="B45" s="22" t="s">
        <v>388</v>
      </c>
      <c r="C45" s="22" t="s">
        <v>499</v>
      </c>
      <c r="D45" s="22" t="s">
        <v>390</v>
      </c>
      <c r="E45" s="22" t="s">
        <v>116</v>
      </c>
      <c r="F45" s="22" t="s">
        <v>223</v>
      </c>
      <c r="G45" s="22" t="s">
        <v>52</v>
      </c>
      <c r="H45" s="22" t="s">
        <v>493</v>
      </c>
      <c r="I45" s="22" t="s">
        <v>119</v>
      </c>
      <c r="J45" s="22" t="s">
        <v>120</v>
      </c>
      <c r="K45" s="22" t="s">
        <v>494</v>
      </c>
      <c r="L45" s="22" t="s">
        <v>147</v>
      </c>
      <c r="M45" s="22" t="s">
        <v>138</v>
      </c>
      <c r="N45" s="23" t="s">
        <v>500</v>
      </c>
      <c r="O45" s="22" t="s">
        <v>149</v>
      </c>
      <c r="P45" s="24" t="s">
        <v>501</v>
      </c>
      <c r="Q45" s="22" t="s">
        <v>502</v>
      </c>
      <c r="R45" s="22" t="s">
        <v>503</v>
      </c>
      <c r="S45" s="22" t="s">
        <v>504</v>
      </c>
      <c r="T45" s="25" t="n">
        <v>4</v>
      </c>
      <c r="U45" s="25" t="n">
        <v>4.5</v>
      </c>
      <c r="V45" s="25" t="n">
        <v>1</v>
      </c>
      <c r="W45" s="25" t="n">
        <v>4</v>
      </c>
      <c r="X45" s="25" t="n">
        <v>5</v>
      </c>
      <c r="Y45" s="25" t="n">
        <v>4</v>
      </c>
      <c r="Z45" s="26" t="n">
        <f aca="false">ROUND((T45*Özet!$C$14+U45*Özet!$C$15+V45*Özet!$C$16+W45*Özet!$C$17+X45*Özet!$C$18+Y45*Özet!$C$19)/5,4)</f>
        <v>0.655</v>
      </c>
      <c r="AA45" s="27" t="n">
        <f aca="false">RANK(AE45,$AE$5:$AE$126)+COUNTIF($AE$5:AE45,AE45)-1</f>
        <v>41</v>
      </c>
      <c r="AB45" s="28" t="str">
        <f aca="false">IF(AND(OR(G45="EN",G45="EN (+DE artı)"),Z45&gt;=0.7),"A – Hemen başvur (İngilizce)",IF(Z45&gt;=0.7,"B – Başvur (Almanca gerekli)",IF(AND(OR(G45="EN",G45="EN (+DE artı)"),Z45&gt;=0.6),"B – Başvur (İngilizce)","C – Opsiyonel")))</f>
        <v>C – Opsiyonel</v>
      </c>
      <c r="AC45" s="22" t="s">
        <v>356</v>
      </c>
      <c r="AD45" s="24" t="s">
        <v>396</v>
      </c>
      <c r="AE45" s="29" t="n">
        <f aca="false">Z45+IF(OR(G45="EN",G45="EN (+DE artı)"),1,0)</f>
        <v>0.655</v>
      </c>
    </row>
    <row r="46" customFormat="false" ht="75" hidden="false" customHeight="true" outlineLevel="0" collapsed="false">
      <c r="A46" s="22" t="n">
        <v>42</v>
      </c>
      <c r="B46" s="22" t="s">
        <v>505</v>
      </c>
      <c r="C46" s="22" t="s">
        <v>506</v>
      </c>
      <c r="D46" s="22" t="s">
        <v>181</v>
      </c>
      <c r="E46" s="22" t="s">
        <v>116</v>
      </c>
      <c r="F46" s="22" t="s">
        <v>360</v>
      </c>
      <c r="G46" s="22" t="s">
        <v>52</v>
      </c>
      <c r="H46" s="22" t="s">
        <v>507</v>
      </c>
      <c r="I46" s="22" t="s">
        <v>119</v>
      </c>
      <c r="J46" s="22" t="s">
        <v>120</v>
      </c>
      <c r="K46" s="22" t="s">
        <v>508</v>
      </c>
      <c r="L46" s="22" t="s">
        <v>486</v>
      </c>
      <c r="M46" s="22" t="s">
        <v>183</v>
      </c>
      <c r="N46" s="23" t="s">
        <v>509</v>
      </c>
      <c r="O46" s="22" t="s">
        <v>125</v>
      </c>
      <c r="P46" s="22"/>
      <c r="Q46" s="22" t="s">
        <v>510</v>
      </c>
      <c r="R46" s="22" t="s">
        <v>511</v>
      </c>
      <c r="S46" s="22" t="s">
        <v>512</v>
      </c>
      <c r="T46" s="25" t="n">
        <v>4</v>
      </c>
      <c r="U46" s="25" t="n">
        <v>5</v>
      </c>
      <c r="V46" s="25" t="n">
        <v>1</v>
      </c>
      <c r="W46" s="25" t="n">
        <v>3.5</v>
      </c>
      <c r="X46" s="25" t="n">
        <v>5</v>
      </c>
      <c r="Y46" s="25" t="n">
        <v>3.5</v>
      </c>
      <c r="Z46" s="26" t="n">
        <f aca="false">ROUND((T46*Özet!$C$14+U46*Özet!$C$15+V46*Özet!$C$16+W46*Özet!$C$17+X46*Özet!$C$18+Y46*Özet!$C$19)/5,4)</f>
        <v>0.655</v>
      </c>
      <c r="AA46" s="27" t="n">
        <f aca="false">RANK(AE46,$AE$5:$AE$126)+COUNTIF($AE$5:AE46,AE46)-1</f>
        <v>42</v>
      </c>
      <c r="AB46" s="28" t="str">
        <f aca="false">IF(AND(OR(G46="EN",G46="EN (+DE artı)"),Z46&gt;=0.7),"A – Hemen başvur (İngilizce)",IF(Z46&gt;=0.7,"B – Başvur (Almanca gerekli)",IF(AND(OR(G46="EN",G46="EN (+DE artı)"),Z46&gt;=0.6),"B – Başvur (İngilizce)","C – Opsiyonel")))</f>
        <v>C – Opsiyonel</v>
      </c>
      <c r="AC46" s="22" t="s">
        <v>445</v>
      </c>
      <c r="AD46" s="24" t="s">
        <v>513</v>
      </c>
      <c r="AE46" s="29" t="n">
        <f aca="false">Z46+IF(OR(G46="EN",G46="EN (+DE artı)"),1,0)</f>
        <v>0.655</v>
      </c>
    </row>
    <row r="47" customFormat="false" ht="75" hidden="false" customHeight="true" outlineLevel="0" collapsed="false">
      <c r="A47" s="22" t="n">
        <v>43</v>
      </c>
      <c r="B47" s="22" t="s">
        <v>437</v>
      </c>
      <c r="C47" s="22" t="s">
        <v>514</v>
      </c>
      <c r="D47" s="22" t="s">
        <v>439</v>
      </c>
      <c r="E47" s="22" t="s">
        <v>116</v>
      </c>
      <c r="F47" s="22" t="s">
        <v>223</v>
      </c>
      <c r="G47" s="22" t="s">
        <v>52</v>
      </c>
      <c r="H47" s="22" t="s">
        <v>515</v>
      </c>
      <c r="I47" s="22" t="s">
        <v>119</v>
      </c>
      <c r="J47" s="22" t="s">
        <v>232</v>
      </c>
      <c r="K47" s="22" t="s">
        <v>136</v>
      </c>
      <c r="L47" s="22" t="s">
        <v>182</v>
      </c>
      <c r="M47" s="22" t="s">
        <v>183</v>
      </c>
      <c r="N47" s="23" t="s">
        <v>516</v>
      </c>
      <c r="O47" s="22" t="s">
        <v>125</v>
      </c>
      <c r="P47" s="22"/>
      <c r="Q47" s="22" t="s">
        <v>517</v>
      </c>
      <c r="R47" s="22" t="s">
        <v>518</v>
      </c>
      <c r="S47" s="22" t="s">
        <v>331</v>
      </c>
      <c r="T47" s="25" t="n">
        <v>4.5</v>
      </c>
      <c r="U47" s="25" t="n">
        <v>4</v>
      </c>
      <c r="V47" s="25" t="n">
        <v>1</v>
      </c>
      <c r="W47" s="25" t="n">
        <v>3.5</v>
      </c>
      <c r="X47" s="25" t="n">
        <v>5</v>
      </c>
      <c r="Y47" s="25" t="n">
        <v>3</v>
      </c>
      <c r="Z47" s="26" t="n">
        <f aca="false">ROUND((T47*Özet!$C$14+U47*Özet!$C$15+V47*Özet!$C$16+W47*Özet!$C$17+X47*Özet!$C$18+Y47*Özet!$C$19)/5,4)</f>
        <v>0.645</v>
      </c>
      <c r="AA47" s="27" t="n">
        <f aca="false">RANK(AE47,$AE$5:$AE$126)+COUNTIF($AE$5:AE47,AE47)-1</f>
        <v>43</v>
      </c>
      <c r="AB47" s="28" t="str">
        <f aca="false">IF(AND(OR(G47="EN",G47="EN (+DE artı)"),Z47&gt;=0.7),"A – Hemen başvur (İngilizce)",IF(Z47&gt;=0.7,"B – Başvur (Almanca gerekli)",IF(AND(OR(G47="EN",G47="EN (+DE artı)"),Z47&gt;=0.6),"B – Başvur (İngilizce)","C – Opsiyonel")))</f>
        <v>C – Opsiyonel</v>
      </c>
      <c r="AC47" s="22" t="s">
        <v>445</v>
      </c>
      <c r="AD47" s="24" t="s">
        <v>446</v>
      </c>
      <c r="AE47" s="29" t="n">
        <f aca="false">Z47+IF(OR(G47="EN",G47="EN (+DE artı)"),1,0)</f>
        <v>0.645</v>
      </c>
    </row>
    <row r="48" customFormat="false" ht="75" hidden="false" customHeight="true" outlineLevel="0" collapsed="false">
      <c r="A48" s="22" t="n">
        <v>44</v>
      </c>
      <c r="B48" s="22" t="s">
        <v>113</v>
      </c>
      <c r="C48" s="22" t="s">
        <v>519</v>
      </c>
      <c r="D48" s="22" t="s">
        <v>115</v>
      </c>
      <c r="E48" s="22" t="s">
        <v>116</v>
      </c>
      <c r="F48" s="22" t="s">
        <v>117</v>
      </c>
      <c r="G48" s="22" t="s">
        <v>44</v>
      </c>
      <c r="H48" s="22" t="s">
        <v>520</v>
      </c>
      <c r="I48" s="22" t="s">
        <v>119</v>
      </c>
      <c r="J48" s="22" t="s">
        <v>120</v>
      </c>
      <c r="K48" s="22" t="s">
        <v>164</v>
      </c>
      <c r="L48" s="22" t="s">
        <v>339</v>
      </c>
      <c r="M48" s="22" t="s">
        <v>123</v>
      </c>
      <c r="N48" s="23" t="s">
        <v>521</v>
      </c>
      <c r="O48" s="22" t="s">
        <v>149</v>
      </c>
      <c r="P48" s="24" t="s">
        <v>522</v>
      </c>
      <c r="Q48" s="22" t="s">
        <v>523</v>
      </c>
      <c r="R48" s="22" t="s">
        <v>524</v>
      </c>
      <c r="S48" s="22" t="s">
        <v>525</v>
      </c>
      <c r="T48" s="25" t="n">
        <v>2.5</v>
      </c>
      <c r="U48" s="25" t="n">
        <v>5</v>
      </c>
      <c r="V48" s="25" t="n">
        <v>2</v>
      </c>
      <c r="W48" s="25" t="n">
        <v>5</v>
      </c>
      <c r="X48" s="25" t="n">
        <v>5</v>
      </c>
      <c r="Y48" s="25" t="n">
        <v>3.5</v>
      </c>
      <c r="Z48" s="26" t="n">
        <f aca="false">ROUND((T48*Özet!$C$14+U48*Özet!$C$15+V48*Özet!$C$16+W48*Özet!$C$17+X48*Özet!$C$18+Y48*Özet!$C$19)/5,4)</f>
        <v>0.64</v>
      </c>
      <c r="AA48" s="27" t="n">
        <f aca="false">RANK(AE48,$AE$5:$AE$126)+COUNTIF($AE$5:AE48,AE48)-1</f>
        <v>44</v>
      </c>
      <c r="AB48" s="28" t="str">
        <f aca="false">IF(AND(OR(G48="EN",G48="EN (+DE artı)"),Z48&gt;=0.7),"A – Hemen başvur (İngilizce)",IF(Z48&gt;=0.7,"B – Başvur (Almanca gerekli)",IF(AND(OR(G48="EN",G48="EN (+DE artı)"),Z48&gt;=0.6),"B – Başvur (İngilizce)","C – Opsiyonel")))</f>
        <v>C – Opsiyonel</v>
      </c>
      <c r="AC48" s="22" t="s">
        <v>312</v>
      </c>
      <c r="AD48" s="24" t="s">
        <v>131</v>
      </c>
      <c r="AE48" s="29" t="n">
        <f aca="false">Z48+IF(OR(G48="EN",G48="EN (+DE artı)"),1,0)</f>
        <v>0.64</v>
      </c>
    </row>
    <row r="49" customFormat="false" ht="75" hidden="false" customHeight="true" outlineLevel="0" collapsed="false">
      <c r="A49" s="22" t="n">
        <v>45</v>
      </c>
      <c r="B49" s="22" t="s">
        <v>526</v>
      </c>
      <c r="C49" s="22" t="s">
        <v>527</v>
      </c>
      <c r="D49" s="22" t="s">
        <v>528</v>
      </c>
      <c r="E49" s="22" t="s">
        <v>116</v>
      </c>
      <c r="F49" s="22" t="s">
        <v>162</v>
      </c>
      <c r="G49" s="22" t="s">
        <v>52</v>
      </c>
      <c r="H49" s="22" t="s">
        <v>529</v>
      </c>
      <c r="I49" s="22" t="s">
        <v>119</v>
      </c>
      <c r="J49" s="22" t="s">
        <v>120</v>
      </c>
      <c r="K49" s="22" t="s">
        <v>530</v>
      </c>
      <c r="L49" s="22" t="s">
        <v>137</v>
      </c>
      <c r="M49" s="22" t="s">
        <v>138</v>
      </c>
      <c r="N49" s="23" t="s">
        <v>531</v>
      </c>
      <c r="O49" s="22" t="s">
        <v>125</v>
      </c>
      <c r="P49" s="22"/>
      <c r="Q49" s="22" t="s">
        <v>532</v>
      </c>
      <c r="R49" s="22" t="s">
        <v>533</v>
      </c>
      <c r="S49" s="22" t="s">
        <v>534</v>
      </c>
      <c r="T49" s="25" t="n">
        <v>3.5</v>
      </c>
      <c r="U49" s="25" t="n">
        <v>5</v>
      </c>
      <c r="V49" s="25" t="n">
        <v>1</v>
      </c>
      <c r="W49" s="25" t="n">
        <v>4</v>
      </c>
      <c r="X49" s="25" t="n">
        <v>5</v>
      </c>
      <c r="Y49" s="25" t="n">
        <v>4</v>
      </c>
      <c r="Z49" s="26" t="n">
        <f aca="false">ROUND((T49*Özet!$C$14+U49*Özet!$C$15+V49*Özet!$C$16+W49*Özet!$C$17+X49*Özet!$C$18+Y49*Özet!$C$19)/5,4)</f>
        <v>0.64</v>
      </c>
      <c r="AA49" s="27" t="n">
        <f aca="false">RANK(AE49,$AE$5:$AE$126)+COUNTIF($AE$5:AE49,AE49)-1</f>
        <v>45</v>
      </c>
      <c r="AB49" s="28" t="str">
        <f aca="false">IF(AND(OR(G49="EN",G49="EN (+DE artı)"),Z49&gt;=0.7),"A – Hemen başvur (İngilizce)",IF(Z49&gt;=0.7,"B – Başvur (Almanca gerekli)",IF(AND(OR(G49="EN",G49="EN (+DE artı)"),Z49&gt;=0.6),"B – Başvur (İngilizce)","C – Opsiyonel")))</f>
        <v>C – Opsiyonel</v>
      </c>
      <c r="AC49" s="22" t="s">
        <v>356</v>
      </c>
      <c r="AD49" s="24" t="s">
        <v>535</v>
      </c>
      <c r="AE49" s="29" t="n">
        <f aca="false">Z49+IF(OR(G49="EN",G49="EN (+DE artı)"),1,0)</f>
        <v>0.64</v>
      </c>
    </row>
    <row r="50" customFormat="false" ht="75" hidden="false" customHeight="true" outlineLevel="0" collapsed="false">
      <c r="A50" s="22" t="n">
        <v>46</v>
      </c>
      <c r="B50" s="22" t="s">
        <v>536</v>
      </c>
      <c r="C50" s="22" t="s">
        <v>537</v>
      </c>
      <c r="D50" s="22" t="s">
        <v>390</v>
      </c>
      <c r="E50" s="22" t="s">
        <v>116</v>
      </c>
      <c r="F50" s="22" t="s">
        <v>210</v>
      </c>
      <c r="G50" s="22" t="s">
        <v>44</v>
      </c>
      <c r="H50" s="22" t="s">
        <v>538</v>
      </c>
      <c r="I50" s="22" t="s">
        <v>119</v>
      </c>
      <c r="J50" s="22" t="s">
        <v>212</v>
      </c>
      <c r="K50" s="22" t="s">
        <v>539</v>
      </c>
      <c r="L50" s="22" t="s">
        <v>540</v>
      </c>
      <c r="M50" s="22" t="s">
        <v>138</v>
      </c>
      <c r="N50" s="23" t="s">
        <v>541</v>
      </c>
      <c r="O50" s="22" t="s">
        <v>149</v>
      </c>
      <c r="P50" s="22"/>
      <c r="Q50" s="22" t="s">
        <v>542</v>
      </c>
      <c r="R50" s="22" t="s">
        <v>543</v>
      </c>
      <c r="S50" s="22" t="s">
        <v>219</v>
      </c>
      <c r="T50" s="25" t="n">
        <v>4</v>
      </c>
      <c r="U50" s="25" t="n">
        <v>3</v>
      </c>
      <c r="V50" s="25" t="n">
        <v>2</v>
      </c>
      <c r="W50" s="25" t="n">
        <v>3.5</v>
      </c>
      <c r="X50" s="25" t="n">
        <v>5</v>
      </c>
      <c r="Y50" s="25" t="n">
        <v>2.5</v>
      </c>
      <c r="Z50" s="26" t="n">
        <f aca="false">ROUND((T50*Özet!$C$14+U50*Özet!$C$15+V50*Özet!$C$16+W50*Özet!$C$17+X50*Özet!$C$18+Y50*Özet!$C$19)/5,4)</f>
        <v>0.635</v>
      </c>
      <c r="AA50" s="27" t="n">
        <f aca="false">RANK(AE50,$AE$5:$AE$126)+COUNTIF($AE$5:AE50,AE50)-1</f>
        <v>46</v>
      </c>
      <c r="AB50" s="28" t="str">
        <f aca="false">IF(AND(OR(G50="EN",G50="EN (+DE artı)"),Z50&gt;=0.7),"A – Hemen başvur (İngilizce)",IF(Z50&gt;=0.7,"B – Başvur (Almanca gerekli)",IF(AND(OR(G50="EN",G50="EN (+DE artı)"),Z50&gt;=0.6),"B – Başvur (İngilizce)","C – Opsiyonel")))</f>
        <v>C – Opsiyonel</v>
      </c>
      <c r="AC50" s="22" t="s">
        <v>544</v>
      </c>
      <c r="AD50" s="24" t="s">
        <v>545</v>
      </c>
      <c r="AE50" s="29" t="n">
        <f aca="false">Z50+IF(OR(G50="EN",G50="EN (+DE artı)"),1,0)</f>
        <v>0.635</v>
      </c>
    </row>
    <row r="51" customFormat="false" ht="75" hidden="false" customHeight="true" outlineLevel="0" collapsed="false">
      <c r="A51" s="22" t="n">
        <v>47</v>
      </c>
      <c r="B51" s="22" t="s">
        <v>314</v>
      </c>
      <c r="C51" s="22" t="s">
        <v>546</v>
      </c>
      <c r="D51" s="22" t="s">
        <v>547</v>
      </c>
      <c r="E51" s="22" t="s">
        <v>116</v>
      </c>
      <c r="F51" s="22" t="s">
        <v>223</v>
      </c>
      <c r="G51" s="22" t="s">
        <v>50</v>
      </c>
      <c r="H51" s="22" t="s">
        <v>277</v>
      </c>
      <c r="I51" s="22" t="s">
        <v>119</v>
      </c>
      <c r="J51" s="22" t="s">
        <v>120</v>
      </c>
      <c r="K51" s="22" t="s">
        <v>548</v>
      </c>
      <c r="L51" s="22" t="s">
        <v>260</v>
      </c>
      <c r="M51" s="22" t="s">
        <v>138</v>
      </c>
      <c r="N51" s="23" t="s">
        <v>549</v>
      </c>
      <c r="O51" s="22" t="s">
        <v>149</v>
      </c>
      <c r="P51" s="22"/>
      <c r="Q51" s="22" t="s">
        <v>550</v>
      </c>
      <c r="R51" s="22" t="s">
        <v>354</v>
      </c>
      <c r="S51" s="22" t="s">
        <v>551</v>
      </c>
      <c r="T51" s="25" t="n">
        <v>3</v>
      </c>
      <c r="U51" s="25" t="n">
        <v>4.5</v>
      </c>
      <c r="V51" s="25" t="n">
        <v>1.5</v>
      </c>
      <c r="W51" s="25" t="n">
        <v>4</v>
      </c>
      <c r="X51" s="25" t="n">
        <v>5</v>
      </c>
      <c r="Y51" s="25" t="n">
        <v>4.5</v>
      </c>
      <c r="Z51" s="26" t="n">
        <f aca="false">ROUND((T51*Özet!$C$14+U51*Özet!$C$15+V51*Özet!$C$16+W51*Özet!$C$17+X51*Özet!$C$18+Y51*Özet!$C$19)/5,4)</f>
        <v>0.635</v>
      </c>
      <c r="AA51" s="27" t="n">
        <f aca="false">RANK(AE51,$AE$5:$AE$126)+COUNTIF($AE$5:AE51,AE51)-1</f>
        <v>47</v>
      </c>
      <c r="AB51" s="28" t="str">
        <f aca="false">IF(AND(OR(G51="EN",G51="EN (+DE artı)"),Z51&gt;=0.7),"A – Hemen başvur (İngilizce)",IF(Z51&gt;=0.7,"B – Başvur (Almanca gerekli)",IF(AND(OR(G51="EN",G51="EN (+DE artı)"),Z51&gt;=0.6),"B – Başvur (İngilizce)","C – Opsiyonel")))</f>
        <v>C – Opsiyonel</v>
      </c>
      <c r="AC51" s="22" t="s">
        <v>302</v>
      </c>
      <c r="AD51" s="24" t="s">
        <v>323</v>
      </c>
      <c r="AE51" s="29" t="n">
        <f aca="false">Z51+IF(OR(G51="EN",G51="EN (+DE artı)"),1,0)</f>
        <v>0.635</v>
      </c>
    </row>
    <row r="52" customFormat="false" ht="75" hidden="false" customHeight="true" outlineLevel="0" collapsed="false">
      <c r="A52" s="22" t="n">
        <v>48</v>
      </c>
      <c r="B52" s="22" t="s">
        <v>314</v>
      </c>
      <c r="C52" s="22" t="s">
        <v>552</v>
      </c>
      <c r="D52" s="22" t="s">
        <v>316</v>
      </c>
      <c r="E52" s="22" t="s">
        <v>116</v>
      </c>
      <c r="F52" s="22" t="s">
        <v>223</v>
      </c>
      <c r="G52" s="22" t="s">
        <v>50</v>
      </c>
      <c r="H52" s="22" t="s">
        <v>277</v>
      </c>
      <c r="I52" s="22" t="s">
        <v>119</v>
      </c>
      <c r="J52" s="22" t="s">
        <v>232</v>
      </c>
      <c r="K52" s="22" t="s">
        <v>553</v>
      </c>
      <c r="L52" s="22" t="s">
        <v>147</v>
      </c>
      <c r="M52" s="22" t="s">
        <v>138</v>
      </c>
      <c r="N52" s="23" t="s">
        <v>554</v>
      </c>
      <c r="O52" s="22" t="s">
        <v>149</v>
      </c>
      <c r="P52" s="22"/>
      <c r="Q52" s="22" t="s">
        <v>555</v>
      </c>
      <c r="R52" s="22" t="s">
        <v>556</v>
      </c>
      <c r="S52" s="22" t="s">
        <v>557</v>
      </c>
      <c r="T52" s="25" t="n">
        <v>3.5</v>
      </c>
      <c r="U52" s="25" t="n">
        <v>4</v>
      </c>
      <c r="V52" s="25" t="n">
        <v>1.5</v>
      </c>
      <c r="W52" s="25" t="n">
        <v>4</v>
      </c>
      <c r="X52" s="25" t="n">
        <v>5</v>
      </c>
      <c r="Y52" s="25" t="n">
        <v>3.5</v>
      </c>
      <c r="Z52" s="26" t="n">
        <f aca="false">ROUND((T52*Özet!$C$14+U52*Özet!$C$15+V52*Özet!$C$16+W52*Özet!$C$17+X52*Özet!$C$18+Y52*Özet!$C$19)/5,4)</f>
        <v>0.63</v>
      </c>
      <c r="AA52" s="27" t="n">
        <f aca="false">RANK(AE52,$AE$5:$AE$126)+COUNTIF($AE$5:AE52,AE52)-1</f>
        <v>48</v>
      </c>
      <c r="AB52" s="28" t="str">
        <f aca="false">IF(AND(OR(G52="EN",G52="EN (+DE artı)"),Z52&gt;=0.7),"A – Hemen başvur (İngilizce)",IF(Z52&gt;=0.7,"B – Başvur (Almanca gerekli)",IF(AND(OR(G52="EN",G52="EN (+DE artı)"),Z52&gt;=0.6),"B – Başvur (İngilizce)","C – Opsiyonel")))</f>
        <v>C – Opsiyonel</v>
      </c>
      <c r="AC52" s="22" t="s">
        <v>302</v>
      </c>
      <c r="AD52" s="24" t="s">
        <v>323</v>
      </c>
      <c r="AE52" s="29" t="n">
        <f aca="false">Z52+IF(OR(G52="EN",G52="EN (+DE artı)"),1,0)</f>
        <v>0.63</v>
      </c>
    </row>
    <row r="53" customFormat="false" ht="75" hidden="false" customHeight="true" outlineLevel="0" collapsed="false">
      <c r="A53" s="22" t="n">
        <v>49</v>
      </c>
      <c r="B53" s="22" t="s">
        <v>558</v>
      </c>
      <c r="C53" s="22" t="s">
        <v>559</v>
      </c>
      <c r="D53" s="22" t="s">
        <v>560</v>
      </c>
      <c r="E53" s="22" t="s">
        <v>230</v>
      </c>
      <c r="F53" s="22" t="s">
        <v>223</v>
      </c>
      <c r="G53" s="22" t="s">
        <v>44</v>
      </c>
      <c r="H53" s="22" t="s">
        <v>561</v>
      </c>
      <c r="I53" s="22" t="s">
        <v>119</v>
      </c>
      <c r="J53" s="22" t="s">
        <v>120</v>
      </c>
      <c r="K53" s="22" t="s">
        <v>136</v>
      </c>
      <c r="L53" s="22" t="s">
        <v>155</v>
      </c>
      <c r="M53" s="22" t="s">
        <v>138</v>
      </c>
      <c r="N53" s="23" t="s">
        <v>562</v>
      </c>
      <c r="O53" s="22" t="s">
        <v>149</v>
      </c>
      <c r="P53" s="22"/>
      <c r="Q53" s="22" t="s">
        <v>563</v>
      </c>
      <c r="R53" s="22" t="s">
        <v>564</v>
      </c>
      <c r="S53" s="22" t="s">
        <v>565</v>
      </c>
      <c r="T53" s="25" t="n">
        <v>3</v>
      </c>
      <c r="U53" s="25" t="n">
        <v>4.5</v>
      </c>
      <c r="V53" s="25" t="n">
        <v>2</v>
      </c>
      <c r="W53" s="25" t="n">
        <v>4</v>
      </c>
      <c r="X53" s="25" t="n">
        <v>4</v>
      </c>
      <c r="Y53" s="25" t="n">
        <v>3.5</v>
      </c>
      <c r="Z53" s="26" t="n">
        <f aca="false">ROUND((T53*Özet!$C$14+U53*Özet!$C$15+V53*Özet!$C$16+W53*Özet!$C$17+X53*Özet!$C$18+Y53*Özet!$C$19)/5,4)</f>
        <v>0.625</v>
      </c>
      <c r="AA53" s="27" t="n">
        <f aca="false">RANK(AE53,$AE$5:$AE$126)+COUNTIF($AE$5:AE53,AE53)-1</f>
        <v>49</v>
      </c>
      <c r="AB53" s="28" t="str">
        <f aca="false">IF(AND(OR(G53="EN",G53="EN (+DE artı)"),Z53&gt;=0.7),"A – Hemen başvur (İngilizce)",IF(Z53&gt;=0.7,"B – Başvur (Almanca gerekli)",IF(AND(OR(G53="EN",G53="EN (+DE artı)"),Z53&gt;=0.6),"B – Başvur (İngilizce)","C – Opsiyonel")))</f>
        <v>C – Opsiyonel</v>
      </c>
      <c r="AC53" s="22" t="s">
        <v>312</v>
      </c>
      <c r="AD53" s="24" t="s">
        <v>566</v>
      </c>
      <c r="AE53" s="29" t="n">
        <f aca="false">Z53+IF(OR(G53="EN",G53="EN (+DE artı)"),1,0)</f>
        <v>0.625</v>
      </c>
    </row>
    <row r="54" customFormat="false" ht="75" hidden="false" customHeight="true" outlineLevel="0" collapsed="false">
      <c r="A54" s="22" t="n">
        <v>50</v>
      </c>
      <c r="B54" s="22" t="s">
        <v>430</v>
      </c>
      <c r="C54" s="22" t="s">
        <v>567</v>
      </c>
      <c r="D54" s="22" t="s">
        <v>390</v>
      </c>
      <c r="E54" s="22" t="s">
        <v>116</v>
      </c>
      <c r="F54" s="22" t="s">
        <v>223</v>
      </c>
      <c r="G54" s="22" t="s">
        <v>52</v>
      </c>
      <c r="H54" s="22" t="s">
        <v>568</v>
      </c>
      <c r="I54" s="22" t="s">
        <v>119</v>
      </c>
      <c r="J54" s="22" t="s">
        <v>232</v>
      </c>
      <c r="K54" s="22" t="s">
        <v>569</v>
      </c>
      <c r="L54" s="22" t="s">
        <v>122</v>
      </c>
      <c r="M54" s="22" t="s">
        <v>138</v>
      </c>
      <c r="N54" s="23" t="s">
        <v>570</v>
      </c>
      <c r="O54" s="22" t="s">
        <v>149</v>
      </c>
      <c r="P54" s="24" t="s">
        <v>571</v>
      </c>
      <c r="Q54" s="22" t="s">
        <v>572</v>
      </c>
      <c r="R54" s="22" t="s">
        <v>573</v>
      </c>
      <c r="S54" s="22" t="s">
        <v>574</v>
      </c>
      <c r="T54" s="25" t="n">
        <v>4</v>
      </c>
      <c r="U54" s="25" t="n">
        <v>4</v>
      </c>
      <c r="V54" s="25" t="n">
        <v>1</v>
      </c>
      <c r="W54" s="25" t="n">
        <v>3.5</v>
      </c>
      <c r="X54" s="25" t="n">
        <v>5</v>
      </c>
      <c r="Y54" s="25" t="n">
        <v>3.5</v>
      </c>
      <c r="Z54" s="26" t="n">
        <f aca="false">ROUND((T54*Özet!$C$14+U54*Özet!$C$15+V54*Özet!$C$16+W54*Özet!$C$17+X54*Özet!$C$18+Y54*Özet!$C$19)/5,4)</f>
        <v>0.625</v>
      </c>
      <c r="AA54" s="27" t="n">
        <f aca="false">RANK(AE54,$AE$5:$AE$126)+COUNTIF($AE$5:AE54,AE54)-1</f>
        <v>50</v>
      </c>
      <c r="AB54" s="28" t="str">
        <f aca="false">IF(AND(OR(G54="EN",G54="EN (+DE artı)"),Z54&gt;=0.7),"A – Hemen başvur (İngilizce)",IF(Z54&gt;=0.7,"B – Başvur (Almanca gerekli)",IF(AND(OR(G54="EN",G54="EN (+DE artı)"),Z54&gt;=0.6),"B – Başvur (İngilizce)","C – Opsiyonel")))</f>
        <v>C – Opsiyonel</v>
      </c>
      <c r="AC54" s="22" t="s">
        <v>575</v>
      </c>
      <c r="AD54" s="24" t="s">
        <v>576</v>
      </c>
      <c r="AE54" s="29" t="n">
        <f aca="false">Z54+IF(OR(G54="EN",G54="EN (+DE artı)"),1,0)</f>
        <v>0.625</v>
      </c>
    </row>
    <row r="55" customFormat="false" ht="75" hidden="false" customHeight="true" outlineLevel="0" collapsed="false">
      <c r="A55" s="22" t="n">
        <v>51</v>
      </c>
      <c r="B55" s="22" t="s">
        <v>577</v>
      </c>
      <c r="C55" s="22" t="s">
        <v>578</v>
      </c>
      <c r="D55" s="22" t="s">
        <v>297</v>
      </c>
      <c r="E55" s="22" t="s">
        <v>116</v>
      </c>
      <c r="F55" s="22" t="s">
        <v>223</v>
      </c>
      <c r="G55" s="22" t="s">
        <v>50</v>
      </c>
      <c r="H55" s="22" t="s">
        <v>277</v>
      </c>
      <c r="I55" s="22" t="s">
        <v>119</v>
      </c>
      <c r="J55" s="22" t="s">
        <v>232</v>
      </c>
      <c r="K55" s="22" t="s">
        <v>579</v>
      </c>
      <c r="L55" s="22" t="s">
        <v>137</v>
      </c>
      <c r="M55" s="22" t="s">
        <v>138</v>
      </c>
      <c r="N55" s="23" t="s">
        <v>580</v>
      </c>
      <c r="O55" s="22" t="s">
        <v>149</v>
      </c>
      <c r="P55" s="22"/>
      <c r="Q55" s="22" t="s">
        <v>581</v>
      </c>
      <c r="R55" s="22" t="s">
        <v>582</v>
      </c>
      <c r="S55" s="22" t="s">
        <v>583</v>
      </c>
      <c r="T55" s="25" t="n">
        <v>3.5</v>
      </c>
      <c r="U55" s="25" t="n">
        <v>4</v>
      </c>
      <c r="V55" s="25" t="n">
        <v>1.5</v>
      </c>
      <c r="W55" s="25" t="n">
        <v>3.5</v>
      </c>
      <c r="X55" s="25" t="n">
        <v>5</v>
      </c>
      <c r="Y55" s="25" t="n">
        <v>3.5</v>
      </c>
      <c r="Z55" s="26" t="n">
        <f aca="false">ROUND((T55*Özet!$C$14+U55*Özet!$C$15+V55*Özet!$C$16+W55*Özet!$C$17+X55*Özet!$C$18+Y55*Özet!$C$19)/5,4)</f>
        <v>0.625</v>
      </c>
      <c r="AA55" s="27" t="n">
        <f aca="false">RANK(AE55,$AE$5:$AE$126)+COUNTIF($AE$5:AE55,AE55)-1</f>
        <v>51</v>
      </c>
      <c r="AB55" s="28" t="str">
        <f aca="false">IF(AND(OR(G55="EN",G55="EN (+DE artı)"),Z55&gt;=0.7),"A – Hemen başvur (İngilizce)",IF(Z55&gt;=0.7,"B – Başvur (Almanca gerekli)",IF(AND(OR(G55="EN",G55="EN (+DE artı)"),Z55&gt;=0.6),"B – Başvur (İngilizce)","C – Opsiyonel")))</f>
        <v>C – Opsiyonel</v>
      </c>
      <c r="AC55" s="22" t="s">
        <v>302</v>
      </c>
      <c r="AD55" s="24" t="s">
        <v>584</v>
      </c>
      <c r="AE55" s="29" t="n">
        <f aca="false">Z55+IF(OR(G55="EN",G55="EN (+DE artı)"),1,0)</f>
        <v>0.625</v>
      </c>
    </row>
    <row r="56" customFormat="false" ht="75" hidden="false" customHeight="true" outlineLevel="0" collapsed="false">
      <c r="A56" s="22" t="n">
        <v>52</v>
      </c>
      <c r="B56" s="22" t="s">
        <v>585</v>
      </c>
      <c r="C56" s="22" t="s">
        <v>586</v>
      </c>
      <c r="D56" s="22" t="s">
        <v>587</v>
      </c>
      <c r="E56" s="22" t="s">
        <v>116</v>
      </c>
      <c r="F56" s="22" t="s">
        <v>223</v>
      </c>
      <c r="G56" s="22" t="s">
        <v>52</v>
      </c>
      <c r="H56" s="22" t="s">
        <v>588</v>
      </c>
      <c r="I56" s="22" t="s">
        <v>119</v>
      </c>
      <c r="J56" s="22" t="s">
        <v>232</v>
      </c>
      <c r="K56" s="22" t="s">
        <v>589</v>
      </c>
      <c r="L56" s="22" t="s">
        <v>339</v>
      </c>
      <c r="M56" s="22" t="s">
        <v>138</v>
      </c>
      <c r="N56" s="23" t="s">
        <v>590</v>
      </c>
      <c r="O56" s="22" t="s">
        <v>149</v>
      </c>
      <c r="P56" s="22"/>
      <c r="Q56" s="22" t="s">
        <v>591</v>
      </c>
      <c r="R56" s="22" t="s">
        <v>592</v>
      </c>
      <c r="S56" s="22" t="s">
        <v>593</v>
      </c>
      <c r="T56" s="25" t="n">
        <v>3.5</v>
      </c>
      <c r="U56" s="25" t="n">
        <v>4</v>
      </c>
      <c r="V56" s="25" t="n">
        <v>1</v>
      </c>
      <c r="W56" s="25" t="n">
        <v>4</v>
      </c>
      <c r="X56" s="25" t="n">
        <v>5</v>
      </c>
      <c r="Y56" s="25" t="n">
        <v>4.5</v>
      </c>
      <c r="Z56" s="26" t="n">
        <f aca="false">ROUND((T56*Özet!$C$14+U56*Özet!$C$15+V56*Özet!$C$16+W56*Özet!$C$17+X56*Özet!$C$18+Y56*Özet!$C$19)/5,4)</f>
        <v>0.62</v>
      </c>
      <c r="AA56" s="27" t="n">
        <f aca="false">RANK(AE56,$AE$5:$AE$126)+COUNTIF($AE$5:AE56,AE56)-1</f>
        <v>52</v>
      </c>
      <c r="AB56" s="28" t="str">
        <f aca="false">IF(AND(OR(G56="EN",G56="EN (+DE artı)"),Z56&gt;=0.7),"A – Hemen başvur (İngilizce)",IF(Z56&gt;=0.7,"B – Başvur (Almanca gerekli)",IF(AND(OR(G56="EN",G56="EN (+DE artı)"),Z56&gt;=0.6),"B – Başvur (İngilizce)","C – Opsiyonel")))</f>
        <v>C – Opsiyonel</v>
      </c>
      <c r="AC56" s="22" t="s">
        <v>356</v>
      </c>
      <c r="AD56" s="24" t="s">
        <v>594</v>
      </c>
      <c r="AE56" s="29" t="n">
        <f aca="false">Z56+IF(OR(G56="EN",G56="EN (+DE artı)"),1,0)</f>
        <v>0.62</v>
      </c>
    </row>
    <row r="57" customFormat="false" ht="75" hidden="false" customHeight="true" outlineLevel="0" collapsed="false">
      <c r="A57" s="22" t="n">
        <v>53</v>
      </c>
      <c r="B57" s="22" t="s">
        <v>388</v>
      </c>
      <c r="C57" s="22" t="s">
        <v>595</v>
      </c>
      <c r="D57" s="22" t="s">
        <v>390</v>
      </c>
      <c r="E57" s="22" t="s">
        <v>116</v>
      </c>
      <c r="F57" s="22" t="s">
        <v>223</v>
      </c>
      <c r="G57" s="22" t="s">
        <v>50</v>
      </c>
      <c r="H57" s="22" t="s">
        <v>277</v>
      </c>
      <c r="I57" s="22" t="s">
        <v>119</v>
      </c>
      <c r="J57" s="22" t="s">
        <v>232</v>
      </c>
      <c r="K57" s="22" t="s">
        <v>596</v>
      </c>
      <c r="L57" s="22" t="s">
        <v>597</v>
      </c>
      <c r="M57" s="22" t="s">
        <v>598</v>
      </c>
      <c r="N57" s="23" t="s">
        <v>599</v>
      </c>
      <c r="O57" s="22" t="s">
        <v>125</v>
      </c>
      <c r="P57" s="22"/>
      <c r="Q57" s="22" t="s">
        <v>600</v>
      </c>
      <c r="R57" s="22" t="s">
        <v>601</v>
      </c>
      <c r="S57" s="22" t="s">
        <v>602</v>
      </c>
      <c r="T57" s="25" t="n">
        <v>3.5</v>
      </c>
      <c r="U57" s="25" t="n">
        <v>4</v>
      </c>
      <c r="V57" s="25" t="n">
        <v>1.5</v>
      </c>
      <c r="W57" s="25" t="n">
        <v>4</v>
      </c>
      <c r="X57" s="25" t="n">
        <v>5</v>
      </c>
      <c r="Y57" s="25" t="n">
        <v>3</v>
      </c>
      <c r="Z57" s="26" t="n">
        <f aca="false">ROUND((T57*Özet!$C$14+U57*Özet!$C$15+V57*Özet!$C$16+W57*Özet!$C$17+X57*Özet!$C$18+Y57*Özet!$C$19)/5,4)</f>
        <v>0.62</v>
      </c>
      <c r="AA57" s="27" t="n">
        <f aca="false">RANK(AE57,$AE$5:$AE$126)+COUNTIF($AE$5:AE57,AE57)-1</f>
        <v>53</v>
      </c>
      <c r="AB57" s="28" t="str">
        <f aca="false">IF(AND(OR(G57="EN",G57="EN (+DE artı)"),Z57&gt;=0.7),"A – Hemen başvur (İngilizce)",IF(Z57&gt;=0.7,"B – Başvur (Almanca gerekli)",IF(AND(OR(G57="EN",G57="EN (+DE artı)"),Z57&gt;=0.6),"B – Başvur (İngilizce)","C – Opsiyonel")))</f>
        <v>C – Opsiyonel</v>
      </c>
      <c r="AC57" s="22" t="s">
        <v>302</v>
      </c>
      <c r="AD57" s="24" t="s">
        <v>603</v>
      </c>
      <c r="AE57" s="29" t="n">
        <f aca="false">Z57+IF(OR(G57="EN",G57="EN (+DE artı)"),1,0)</f>
        <v>0.62</v>
      </c>
    </row>
    <row r="58" customFormat="false" ht="75" hidden="false" customHeight="true" outlineLevel="0" collapsed="false">
      <c r="A58" s="22" t="n">
        <v>54</v>
      </c>
      <c r="B58" s="22" t="s">
        <v>604</v>
      </c>
      <c r="C58" s="22" t="s">
        <v>605</v>
      </c>
      <c r="D58" s="22" t="s">
        <v>390</v>
      </c>
      <c r="E58" s="22" t="s">
        <v>116</v>
      </c>
      <c r="F58" s="22" t="s">
        <v>210</v>
      </c>
      <c r="G58" s="22" t="s">
        <v>52</v>
      </c>
      <c r="H58" s="22" t="s">
        <v>606</v>
      </c>
      <c r="I58" s="22" t="s">
        <v>119</v>
      </c>
      <c r="J58" s="22" t="s">
        <v>212</v>
      </c>
      <c r="K58" s="22" t="s">
        <v>350</v>
      </c>
      <c r="L58" s="22" t="s">
        <v>147</v>
      </c>
      <c r="M58" s="22" t="s">
        <v>138</v>
      </c>
      <c r="N58" s="23" t="s">
        <v>607</v>
      </c>
      <c r="O58" s="22" t="s">
        <v>149</v>
      </c>
      <c r="P58" s="22"/>
      <c r="Q58" s="22" t="s">
        <v>608</v>
      </c>
      <c r="R58" s="22" t="s">
        <v>609</v>
      </c>
      <c r="S58" s="22" t="s">
        <v>331</v>
      </c>
      <c r="T58" s="25" t="n">
        <v>4</v>
      </c>
      <c r="U58" s="25" t="n">
        <v>3</v>
      </c>
      <c r="V58" s="25" t="n">
        <v>1</v>
      </c>
      <c r="W58" s="25" t="n">
        <v>3.5</v>
      </c>
      <c r="X58" s="25" t="n">
        <v>5</v>
      </c>
      <c r="Y58" s="25" t="n">
        <v>4.5</v>
      </c>
      <c r="Z58" s="26" t="n">
        <f aca="false">ROUND((T58*Özet!$C$14+U58*Özet!$C$15+V58*Özet!$C$16+W58*Özet!$C$17+X58*Özet!$C$18+Y58*Özet!$C$19)/5,4)</f>
        <v>0.615</v>
      </c>
      <c r="AA58" s="27" t="n">
        <f aca="false">RANK(AE58,$AE$5:$AE$126)+COUNTIF($AE$5:AE58,AE58)-1</f>
        <v>54</v>
      </c>
      <c r="AB58" s="28" t="str">
        <f aca="false">IF(AND(OR(G58="EN",G58="EN (+DE artı)"),Z58&gt;=0.7),"A – Hemen başvur (İngilizce)",IF(Z58&gt;=0.7,"B – Başvur (Almanca gerekli)",IF(AND(OR(G58="EN",G58="EN (+DE artı)"),Z58&gt;=0.6),"B – Başvur (İngilizce)","C – Opsiyonel")))</f>
        <v>C – Opsiyonel</v>
      </c>
      <c r="AC58" s="22" t="s">
        <v>610</v>
      </c>
      <c r="AD58" s="24" t="s">
        <v>611</v>
      </c>
      <c r="AE58" s="29" t="n">
        <f aca="false">Z58+IF(OR(G58="EN",G58="EN (+DE artı)"),1,0)</f>
        <v>0.615</v>
      </c>
    </row>
    <row r="59" customFormat="false" ht="75" hidden="false" customHeight="true" outlineLevel="0" collapsed="false">
      <c r="A59" s="22" t="n">
        <v>55</v>
      </c>
      <c r="B59" s="22" t="s">
        <v>612</v>
      </c>
      <c r="C59" s="22" t="s">
        <v>613</v>
      </c>
      <c r="D59" s="22" t="s">
        <v>614</v>
      </c>
      <c r="E59" s="22" t="s">
        <v>116</v>
      </c>
      <c r="F59" s="22" t="s">
        <v>248</v>
      </c>
      <c r="G59" s="22" t="s">
        <v>52</v>
      </c>
      <c r="H59" s="22" t="s">
        <v>615</v>
      </c>
      <c r="I59" s="22" t="s">
        <v>119</v>
      </c>
      <c r="J59" s="22" t="s">
        <v>120</v>
      </c>
      <c r="K59" s="22" t="s">
        <v>616</v>
      </c>
      <c r="L59" s="22" t="s">
        <v>147</v>
      </c>
      <c r="M59" s="22" t="s">
        <v>138</v>
      </c>
      <c r="N59" s="23" t="s">
        <v>617</v>
      </c>
      <c r="O59" s="22" t="s">
        <v>149</v>
      </c>
      <c r="P59" s="24" t="s">
        <v>618</v>
      </c>
      <c r="Q59" s="22" t="s">
        <v>619</v>
      </c>
      <c r="R59" s="22" t="s">
        <v>620</v>
      </c>
      <c r="S59" s="22" t="s">
        <v>621</v>
      </c>
      <c r="T59" s="25" t="n">
        <v>3</v>
      </c>
      <c r="U59" s="25" t="n">
        <v>4.5</v>
      </c>
      <c r="V59" s="25" t="n">
        <v>1</v>
      </c>
      <c r="W59" s="25" t="n">
        <v>4</v>
      </c>
      <c r="X59" s="25" t="n">
        <v>5</v>
      </c>
      <c r="Y59" s="25" t="n">
        <v>5</v>
      </c>
      <c r="Z59" s="26" t="n">
        <f aca="false">ROUND((T59*Özet!$C$14+U59*Özet!$C$15+V59*Özet!$C$16+W59*Özet!$C$17+X59*Özet!$C$18+Y59*Özet!$C$19)/5,4)</f>
        <v>0.615</v>
      </c>
      <c r="AA59" s="27" t="n">
        <f aca="false">RANK(AE59,$AE$5:$AE$126)+COUNTIF($AE$5:AE59,AE59)-1</f>
        <v>55</v>
      </c>
      <c r="AB59" s="28" t="str">
        <f aca="false">IF(AND(OR(G59="EN",G59="EN (+DE artı)"),Z59&gt;=0.7),"A – Hemen başvur (İngilizce)",IF(Z59&gt;=0.7,"B – Başvur (Almanca gerekli)",IF(AND(OR(G59="EN",G59="EN (+DE artı)"),Z59&gt;=0.6),"B – Başvur (İngilizce)","C – Opsiyonel")))</f>
        <v>C – Opsiyonel</v>
      </c>
      <c r="AC59" s="22" t="s">
        <v>356</v>
      </c>
      <c r="AD59" s="24" t="s">
        <v>622</v>
      </c>
      <c r="AE59" s="29" t="n">
        <f aca="false">Z59+IF(OR(G59="EN",G59="EN (+DE artı)"),1,0)</f>
        <v>0.615</v>
      </c>
    </row>
    <row r="60" customFormat="false" ht="75" hidden="false" customHeight="true" outlineLevel="0" collapsed="false">
      <c r="A60" s="22" t="n">
        <v>56</v>
      </c>
      <c r="B60" s="22" t="s">
        <v>623</v>
      </c>
      <c r="C60" s="22" t="s">
        <v>624</v>
      </c>
      <c r="D60" s="22" t="s">
        <v>625</v>
      </c>
      <c r="E60" s="22" t="s">
        <v>116</v>
      </c>
      <c r="F60" s="22" t="s">
        <v>223</v>
      </c>
      <c r="G60" s="22" t="s">
        <v>52</v>
      </c>
      <c r="H60" s="22" t="s">
        <v>626</v>
      </c>
      <c r="I60" s="22" t="s">
        <v>119</v>
      </c>
      <c r="J60" s="22" t="s">
        <v>120</v>
      </c>
      <c r="K60" s="22" t="s">
        <v>616</v>
      </c>
      <c r="L60" s="22" t="s">
        <v>147</v>
      </c>
      <c r="M60" s="22" t="s">
        <v>138</v>
      </c>
      <c r="N60" s="23" t="s">
        <v>627</v>
      </c>
      <c r="O60" s="22" t="s">
        <v>149</v>
      </c>
      <c r="P60" s="22"/>
      <c r="Q60" s="22" t="s">
        <v>628</v>
      </c>
      <c r="R60" s="22" t="s">
        <v>629</v>
      </c>
      <c r="S60" s="22" t="s">
        <v>630</v>
      </c>
      <c r="T60" s="25" t="n">
        <v>3</v>
      </c>
      <c r="U60" s="25" t="n">
        <v>4.5</v>
      </c>
      <c r="V60" s="25" t="n">
        <v>1</v>
      </c>
      <c r="W60" s="25" t="n">
        <v>4</v>
      </c>
      <c r="X60" s="25" t="n">
        <v>5</v>
      </c>
      <c r="Y60" s="25" t="n">
        <v>5</v>
      </c>
      <c r="Z60" s="26" t="n">
        <f aca="false">ROUND((T60*Özet!$C$14+U60*Özet!$C$15+V60*Özet!$C$16+W60*Özet!$C$17+X60*Özet!$C$18+Y60*Özet!$C$19)/5,4)</f>
        <v>0.615</v>
      </c>
      <c r="AA60" s="27" t="n">
        <f aca="false">RANK(AE60,$AE$5:$AE$126)+COUNTIF($AE$5:AE60,AE60)-1</f>
        <v>56</v>
      </c>
      <c r="AB60" s="28" t="str">
        <f aca="false">IF(AND(OR(G60="EN",G60="EN (+DE artı)"),Z60&gt;=0.7),"A – Hemen başvur (İngilizce)",IF(Z60&gt;=0.7,"B – Başvur (Almanca gerekli)",IF(AND(OR(G60="EN",G60="EN (+DE artı)"),Z60&gt;=0.6),"B – Başvur (İngilizce)","C – Opsiyonel")))</f>
        <v>C – Opsiyonel</v>
      </c>
      <c r="AC60" s="22" t="s">
        <v>356</v>
      </c>
      <c r="AD60" s="24" t="s">
        <v>631</v>
      </c>
      <c r="AE60" s="29" t="n">
        <f aca="false">Z60+IF(OR(G60="EN",G60="EN (+DE artı)"),1,0)</f>
        <v>0.615</v>
      </c>
    </row>
    <row r="61" customFormat="false" ht="75" hidden="false" customHeight="true" outlineLevel="0" collapsed="false">
      <c r="A61" s="22" t="n">
        <v>57</v>
      </c>
      <c r="B61" s="22" t="s">
        <v>623</v>
      </c>
      <c r="C61" s="22" t="s">
        <v>632</v>
      </c>
      <c r="D61" s="22" t="s">
        <v>633</v>
      </c>
      <c r="E61" s="22" t="s">
        <v>116</v>
      </c>
      <c r="F61" s="22" t="s">
        <v>248</v>
      </c>
      <c r="G61" s="22" t="s">
        <v>52</v>
      </c>
      <c r="H61" s="22" t="s">
        <v>634</v>
      </c>
      <c r="I61" s="22" t="s">
        <v>119</v>
      </c>
      <c r="J61" s="22" t="s">
        <v>120</v>
      </c>
      <c r="K61" s="22" t="s">
        <v>616</v>
      </c>
      <c r="L61" s="22" t="s">
        <v>122</v>
      </c>
      <c r="M61" s="22" t="s">
        <v>138</v>
      </c>
      <c r="N61" s="23" t="s">
        <v>635</v>
      </c>
      <c r="O61" s="22" t="s">
        <v>125</v>
      </c>
      <c r="P61" s="22"/>
      <c r="Q61" s="22" t="s">
        <v>636</v>
      </c>
      <c r="R61" s="22" t="s">
        <v>637</v>
      </c>
      <c r="S61" s="22" t="s">
        <v>638</v>
      </c>
      <c r="T61" s="25" t="n">
        <v>3</v>
      </c>
      <c r="U61" s="25" t="n">
        <v>4.5</v>
      </c>
      <c r="V61" s="25" t="n">
        <v>1</v>
      </c>
      <c r="W61" s="25" t="n">
        <v>4</v>
      </c>
      <c r="X61" s="25" t="n">
        <v>5</v>
      </c>
      <c r="Y61" s="25" t="n">
        <v>5</v>
      </c>
      <c r="Z61" s="26" t="n">
        <f aca="false">ROUND((T61*Özet!$C$14+U61*Özet!$C$15+V61*Özet!$C$16+W61*Özet!$C$17+X61*Özet!$C$18+Y61*Özet!$C$19)/5,4)</f>
        <v>0.615</v>
      </c>
      <c r="AA61" s="27" t="n">
        <f aca="false">RANK(AE61,$AE$5:$AE$126)+COUNTIF($AE$5:AE61,AE61)-1</f>
        <v>57</v>
      </c>
      <c r="AB61" s="28" t="str">
        <f aca="false">IF(AND(OR(G61="EN",G61="EN (+DE artı)"),Z61&gt;=0.7),"A – Hemen başvur (İngilizce)",IF(Z61&gt;=0.7,"B – Başvur (Almanca gerekli)",IF(AND(OR(G61="EN",G61="EN (+DE artı)"),Z61&gt;=0.6),"B – Başvur (İngilizce)","C – Opsiyonel")))</f>
        <v>C – Opsiyonel</v>
      </c>
      <c r="AC61" s="22" t="s">
        <v>356</v>
      </c>
      <c r="AD61" s="24" t="s">
        <v>631</v>
      </c>
      <c r="AE61" s="29" t="n">
        <f aca="false">Z61+IF(OR(G61="EN",G61="EN (+DE artı)"),1,0)</f>
        <v>0.615</v>
      </c>
    </row>
    <row r="62" customFormat="false" ht="75" hidden="false" customHeight="true" outlineLevel="0" collapsed="false">
      <c r="A62" s="22" t="n">
        <v>58</v>
      </c>
      <c r="B62" s="22" t="s">
        <v>639</v>
      </c>
      <c r="C62" s="22" t="s">
        <v>640</v>
      </c>
      <c r="D62" s="22" t="s">
        <v>258</v>
      </c>
      <c r="E62" s="22" t="s">
        <v>116</v>
      </c>
      <c r="F62" s="22" t="s">
        <v>210</v>
      </c>
      <c r="G62" s="22" t="s">
        <v>52</v>
      </c>
      <c r="H62" s="22" t="s">
        <v>606</v>
      </c>
      <c r="I62" s="22" t="s">
        <v>119</v>
      </c>
      <c r="J62" s="22" t="s">
        <v>212</v>
      </c>
      <c r="K62" s="22" t="s">
        <v>641</v>
      </c>
      <c r="L62" s="22" t="s">
        <v>642</v>
      </c>
      <c r="M62" s="22" t="s">
        <v>183</v>
      </c>
      <c r="N62" s="23" t="s">
        <v>643</v>
      </c>
      <c r="O62" s="22" t="s">
        <v>125</v>
      </c>
      <c r="P62" s="22"/>
      <c r="Q62" s="22" t="s">
        <v>608</v>
      </c>
      <c r="R62" s="22" t="s">
        <v>609</v>
      </c>
      <c r="S62" s="22" t="s">
        <v>331</v>
      </c>
      <c r="T62" s="25" t="n">
        <v>4</v>
      </c>
      <c r="U62" s="25" t="n">
        <v>3</v>
      </c>
      <c r="V62" s="25" t="n">
        <v>1</v>
      </c>
      <c r="W62" s="25" t="n">
        <v>3.5</v>
      </c>
      <c r="X62" s="25" t="n">
        <v>5</v>
      </c>
      <c r="Y62" s="25" t="n">
        <v>4.5</v>
      </c>
      <c r="Z62" s="26" t="n">
        <f aca="false">ROUND((T62*Özet!$C$14+U62*Özet!$C$15+V62*Özet!$C$16+W62*Özet!$C$17+X62*Özet!$C$18+Y62*Özet!$C$19)/5,4)</f>
        <v>0.615</v>
      </c>
      <c r="AA62" s="27" t="n">
        <f aca="false">RANK(AE62,$AE$5:$AE$126)+COUNTIF($AE$5:AE62,AE62)-1</f>
        <v>58</v>
      </c>
      <c r="AB62" s="28" t="str">
        <f aca="false">IF(AND(OR(G62="EN",G62="EN (+DE artı)"),Z62&gt;=0.7),"A – Hemen başvur (İngilizce)",IF(Z62&gt;=0.7,"B – Başvur (Almanca gerekli)",IF(AND(OR(G62="EN",G62="EN (+DE artı)"),Z62&gt;=0.6),"B – Başvur (İngilizce)","C – Opsiyonel")))</f>
        <v>C – Opsiyonel</v>
      </c>
      <c r="AC62" s="22" t="s">
        <v>610</v>
      </c>
      <c r="AD62" s="24" t="s">
        <v>644</v>
      </c>
      <c r="AE62" s="29" t="n">
        <f aca="false">Z62+IF(OR(G62="EN",G62="EN (+DE artı)"),1,0)</f>
        <v>0.615</v>
      </c>
    </row>
    <row r="63" customFormat="false" ht="75" hidden="false" customHeight="true" outlineLevel="0" collapsed="false">
      <c r="A63" s="22" t="n">
        <v>59</v>
      </c>
      <c r="B63" s="22" t="s">
        <v>526</v>
      </c>
      <c r="C63" s="22" t="s">
        <v>645</v>
      </c>
      <c r="D63" s="22" t="s">
        <v>528</v>
      </c>
      <c r="E63" s="22" t="s">
        <v>116</v>
      </c>
      <c r="F63" s="22" t="s">
        <v>162</v>
      </c>
      <c r="G63" s="22" t="s">
        <v>52</v>
      </c>
      <c r="H63" s="22" t="s">
        <v>529</v>
      </c>
      <c r="I63" s="22" t="s">
        <v>119</v>
      </c>
      <c r="J63" s="22" t="s">
        <v>120</v>
      </c>
      <c r="K63" s="22" t="s">
        <v>530</v>
      </c>
      <c r="L63" s="22" t="s">
        <v>137</v>
      </c>
      <c r="M63" s="22" t="s">
        <v>138</v>
      </c>
      <c r="N63" s="23" t="s">
        <v>646</v>
      </c>
      <c r="O63" s="22" t="s">
        <v>125</v>
      </c>
      <c r="P63" s="22"/>
      <c r="Q63" s="22" t="s">
        <v>647</v>
      </c>
      <c r="R63" s="22" t="s">
        <v>648</v>
      </c>
      <c r="S63" s="22" t="s">
        <v>649</v>
      </c>
      <c r="T63" s="25" t="n">
        <v>3</v>
      </c>
      <c r="U63" s="25" t="n">
        <v>5</v>
      </c>
      <c r="V63" s="25" t="n">
        <v>1</v>
      </c>
      <c r="W63" s="25" t="n">
        <v>4</v>
      </c>
      <c r="X63" s="25" t="n">
        <v>5</v>
      </c>
      <c r="Y63" s="25" t="n">
        <v>4</v>
      </c>
      <c r="Z63" s="26" t="n">
        <f aca="false">ROUND((T63*Özet!$C$14+U63*Özet!$C$15+V63*Özet!$C$16+W63*Özet!$C$17+X63*Özet!$C$18+Y63*Özet!$C$19)/5,4)</f>
        <v>0.61</v>
      </c>
      <c r="AA63" s="27" t="n">
        <f aca="false">RANK(AE63,$AE$5:$AE$126)+COUNTIF($AE$5:AE63,AE63)-1</f>
        <v>59</v>
      </c>
      <c r="AB63" s="28" t="str">
        <f aca="false">IF(AND(OR(G63="EN",G63="EN (+DE artı)"),Z63&gt;=0.7),"A – Hemen başvur (İngilizce)",IF(Z63&gt;=0.7,"B – Başvur (Almanca gerekli)",IF(AND(OR(G63="EN",G63="EN (+DE artı)"),Z63&gt;=0.6),"B – Başvur (İngilizce)","C – Opsiyonel")))</f>
        <v>C – Opsiyonel</v>
      </c>
      <c r="AC63" s="22" t="s">
        <v>650</v>
      </c>
      <c r="AD63" s="24" t="s">
        <v>535</v>
      </c>
      <c r="AE63" s="29" t="n">
        <f aca="false">Z63+IF(OR(G63="EN",G63="EN (+DE artı)"),1,0)</f>
        <v>0.61</v>
      </c>
    </row>
    <row r="64" customFormat="false" ht="75" hidden="false" customHeight="true" outlineLevel="0" collapsed="false">
      <c r="A64" s="22" t="n">
        <v>60</v>
      </c>
      <c r="B64" s="22" t="s">
        <v>651</v>
      </c>
      <c r="C64" s="22" t="s">
        <v>652</v>
      </c>
      <c r="D64" s="22" t="s">
        <v>653</v>
      </c>
      <c r="E64" s="22" t="s">
        <v>381</v>
      </c>
      <c r="F64" s="22" t="s">
        <v>210</v>
      </c>
      <c r="G64" s="22" t="s">
        <v>44</v>
      </c>
      <c r="H64" s="22" t="s">
        <v>654</v>
      </c>
      <c r="I64" s="22" t="s">
        <v>119</v>
      </c>
      <c r="J64" s="22" t="s">
        <v>212</v>
      </c>
      <c r="K64" s="22" t="s">
        <v>136</v>
      </c>
      <c r="L64" s="22" t="s">
        <v>155</v>
      </c>
      <c r="M64" s="22" t="s">
        <v>138</v>
      </c>
      <c r="N64" s="23" t="s">
        <v>655</v>
      </c>
      <c r="O64" s="22" t="s">
        <v>125</v>
      </c>
      <c r="P64" s="22"/>
      <c r="Q64" s="22" t="s">
        <v>656</v>
      </c>
      <c r="R64" s="22" t="s">
        <v>657</v>
      </c>
      <c r="S64" s="22" t="s">
        <v>658</v>
      </c>
      <c r="T64" s="25" t="n">
        <v>4</v>
      </c>
      <c r="U64" s="25" t="n">
        <v>3</v>
      </c>
      <c r="V64" s="25" t="n">
        <v>2</v>
      </c>
      <c r="W64" s="25" t="n">
        <v>4</v>
      </c>
      <c r="X64" s="25" t="n">
        <v>3</v>
      </c>
      <c r="Y64" s="25" t="n">
        <v>3</v>
      </c>
      <c r="Z64" s="26" t="n">
        <f aca="false">ROUND((T64*Özet!$C$14+U64*Özet!$C$15+V64*Özet!$C$16+W64*Özet!$C$17+X64*Özet!$C$18+Y64*Özet!$C$19)/5,4)</f>
        <v>0.61</v>
      </c>
      <c r="AA64" s="27" t="n">
        <f aca="false">RANK(AE64,$AE$5:$AE$126)+COUNTIF($AE$5:AE64,AE64)-1</f>
        <v>60</v>
      </c>
      <c r="AB64" s="28" t="str">
        <f aca="false">IF(AND(OR(G64="EN",G64="EN (+DE artı)"),Z64&gt;=0.7),"A – Hemen başvur (İngilizce)",IF(Z64&gt;=0.7,"B – Başvur (Almanca gerekli)",IF(AND(OR(G64="EN",G64="EN (+DE artı)"),Z64&gt;=0.6),"B – Başvur (İngilizce)","C – Opsiyonel")))</f>
        <v>C – Opsiyonel</v>
      </c>
      <c r="AC64" s="22" t="s">
        <v>312</v>
      </c>
      <c r="AD64" s="24" t="s">
        <v>659</v>
      </c>
      <c r="AE64" s="29" t="n">
        <f aca="false">Z64+IF(OR(G64="EN",G64="EN (+DE artı)"),1,0)</f>
        <v>0.61</v>
      </c>
    </row>
    <row r="65" customFormat="false" ht="75" hidden="false" customHeight="true" outlineLevel="0" collapsed="false">
      <c r="A65" s="22" t="n">
        <v>61</v>
      </c>
      <c r="B65" s="22" t="s">
        <v>660</v>
      </c>
      <c r="C65" s="22" t="s">
        <v>661</v>
      </c>
      <c r="D65" s="22" t="s">
        <v>662</v>
      </c>
      <c r="E65" s="22" t="s">
        <v>381</v>
      </c>
      <c r="F65" s="22" t="s">
        <v>171</v>
      </c>
      <c r="G65" s="22" t="s">
        <v>50</v>
      </c>
      <c r="H65" s="22" t="s">
        <v>277</v>
      </c>
      <c r="I65" s="22" t="s">
        <v>119</v>
      </c>
      <c r="J65" s="22" t="s">
        <v>120</v>
      </c>
      <c r="K65" s="22" t="s">
        <v>663</v>
      </c>
      <c r="L65" s="22" t="s">
        <v>137</v>
      </c>
      <c r="M65" s="22" t="s">
        <v>138</v>
      </c>
      <c r="N65" s="23" t="s">
        <v>664</v>
      </c>
      <c r="O65" s="22" t="s">
        <v>125</v>
      </c>
      <c r="P65" s="22"/>
      <c r="Q65" s="22" t="s">
        <v>665</v>
      </c>
      <c r="R65" s="22" t="s">
        <v>666</v>
      </c>
      <c r="S65" s="22" t="s">
        <v>667</v>
      </c>
      <c r="T65" s="25" t="n">
        <v>3</v>
      </c>
      <c r="U65" s="25" t="n">
        <v>5</v>
      </c>
      <c r="V65" s="25" t="n">
        <v>1.5</v>
      </c>
      <c r="W65" s="25" t="n">
        <v>4</v>
      </c>
      <c r="X65" s="25" t="n">
        <v>3</v>
      </c>
      <c r="Y65" s="25" t="n">
        <v>4.5</v>
      </c>
      <c r="Z65" s="26" t="n">
        <f aca="false">ROUND((T65*Özet!$C$14+U65*Özet!$C$15+V65*Özet!$C$16+W65*Özet!$C$17+X65*Özet!$C$18+Y65*Özet!$C$19)/5,4)</f>
        <v>0.61</v>
      </c>
      <c r="AA65" s="27" t="n">
        <f aca="false">RANK(AE65,$AE$5:$AE$126)+COUNTIF($AE$5:AE65,AE65)-1</f>
        <v>61</v>
      </c>
      <c r="AB65" s="28" t="str">
        <f aca="false">IF(AND(OR(G65="EN",G65="EN (+DE artı)"),Z65&gt;=0.7),"A – Hemen başvur (İngilizce)",IF(Z65&gt;=0.7,"B – Başvur (Almanca gerekli)",IF(AND(OR(G65="EN",G65="EN (+DE artı)"),Z65&gt;=0.6),"B – Başvur (İngilizce)","C – Opsiyonel")))</f>
        <v>C – Opsiyonel</v>
      </c>
      <c r="AC65" s="22" t="s">
        <v>302</v>
      </c>
      <c r="AD65" s="24" t="s">
        <v>668</v>
      </c>
      <c r="AE65" s="29" t="n">
        <f aca="false">Z65+IF(OR(G65="EN",G65="EN (+DE artı)"),1,0)</f>
        <v>0.61</v>
      </c>
    </row>
    <row r="66" customFormat="false" ht="75" hidden="false" customHeight="true" outlineLevel="0" collapsed="false">
      <c r="A66" s="22" t="n">
        <v>62</v>
      </c>
      <c r="B66" s="22" t="s">
        <v>669</v>
      </c>
      <c r="C66" s="22" t="s">
        <v>670</v>
      </c>
      <c r="D66" s="22" t="s">
        <v>671</v>
      </c>
      <c r="E66" s="22" t="s">
        <v>230</v>
      </c>
      <c r="F66" s="22" t="s">
        <v>223</v>
      </c>
      <c r="G66" s="22" t="s">
        <v>52</v>
      </c>
      <c r="H66" s="22" t="s">
        <v>672</v>
      </c>
      <c r="I66" s="22" t="s">
        <v>119</v>
      </c>
      <c r="J66" s="22" t="s">
        <v>232</v>
      </c>
      <c r="K66" s="22" t="s">
        <v>673</v>
      </c>
      <c r="L66" s="22" t="s">
        <v>674</v>
      </c>
      <c r="M66" s="22" t="s">
        <v>183</v>
      </c>
      <c r="N66" s="23" t="s">
        <v>675</v>
      </c>
      <c r="O66" s="22" t="s">
        <v>125</v>
      </c>
      <c r="P66" s="22"/>
      <c r="Q66" s="22" t="s">
        <v>676</v>
      </c>
      <c r="R66" s="22" t="s">
        <v>677</v>
      </c>
      <c r="S66" s="22" t="s">
        <v>678</v>
      </c>
      <c r="T66" s="25" t="n">
        <v>4</v>
      </c>
      <c r="U66" s="25" t="n">
        <v>4</v>
      </c>
      <c r="V66" s="25" t="n">
        <v>1</v>
      </c>
      <c r="W66" s="25" t="n">
        <v>5</v>
      </c>
      <c r="X66" s="25" t="n">
        <v>4</v>
      </c>
      <c r="Y66" s="25" t="n">
        <v>3</v>
      </c>
      <c r="Z66" s="26" t="n">
        <f aca="false">ROUND((T66*Özet!$C$14+U66*Özet!$C$15+V66*Özet!$C$16+W66*Özet!$C$17+X66*Özet!$C$18+Y66*Özet!$C$19)/5,4)</f>
        <v>0.61</v>
      </c>
      <c r="AA66" s="27" t="n">
        <f aca="false">RANK(AE66,$AE$5:$AE$126)+COUNTIF($AE$5:AE66,AE66)-1</f>
        <v>62</v>
      </c>
      <c r="AB66" s="28" t="str">
        <f aca="false">IF(AND(OR(G66="EN",G66="EN (+DE artı)"),Z66&gt;=0.7),"A – Hemen başvur (İngilizce)",IF(Z66&gt;=0.7,"B – Başvur (Almanca gerekli)",IF(AND(OR(G66="EN",G66="EN (+DE artı)"),Z66&gt;=0.6),"B – Başvur (İngilizce)","C – Opsiyonel")))</f>
        <v>C – Opsiyonel</v>
      </c>
      <c r="AC66" s="22" t="s">
        <v>356</v>
      </c>
      <c r="AD66" s="24" t="s">
        <v>679</v>
      </c>
      <c r="AE66" s="29" t="n">
        <f aca="false">Z66+IF(OR(G66="EN",G66="EN (+DE artı)"),1,0)</f>
        <v>0.61</v>
      </c>
    </row>
    <row r="67" customFormat="false" ht="75" hidden="false" customHeight="true" outlineLevel="0" collapsed="false">
      <c r="A67" s="22" t="n">
        <v>63</v>
      </c>
      <c r="B67" s="22" t="s">
        <v>680</v>
      </c>
      <c r="C67" s="22" t="s">
        <v>681</v>
      </c>
      <c r="D67" s="22" t="s">
        <v>297</v>
      </c>
      <c r="E67" s="22" t="s">
        <v>116</v>
      </c>
      <c r="F67" s="22" t="s">
        <v>682</v>
      </c>
      <c r="G67" s="22" t="s">
        <v>50</v>
      </c>
      <c r="H67" s="22" t="s">
        <v>683</v>
      </c>
      <c r="I67" s="22" t="s">
        <v>119</v>
      </c>
      <c r="J67" s="22" t="s">
        <v>120</v>
      </c>
      <c r="K67" s="22" t="s">
        <v>418</v>
      </c>
      <c r="L67" s="22" t="s">
        <v>147</v>
      </c>
      <c r="M67" s="22" t="s">
        <v>138</v>
      </c>
      <c r="N67" s="23" t="s">
        <v>684</v>
      </c>
      <c r="O67" s="22" t="s">
        <v>149</v>
      </c>
      <c r="P67" s="22"/>
      <c r="Q67" s="22" t="s">
        <v>685</v>
      </c>
      <c r="R67" s="22" t="s">
        <v>686</v>
      </c>
      <c r="S67" s="22" t="s">
        <v>687</v>
      </c>
      <c r="T67" s="25" t="n">
        <v>3</v>
      </c>
      <c r="U67" s="25" t="n">
        <v>4.5</v>
      </c>
      <c r="V67" s="25" t="n">
        <v>1.5</v>
      </c>
      <c r="W67" s="25" t="n">
        <v>3.5</v>
      </c>
      <c r="X67" s="25" t="n">
        <v>5</v>
      </c>
      <c r="Y67" s="25" t="n">
        <v>3.5</v>
      </c>
      <c r="Z67" s="26" t="n">
        <f aca="false">ROUND((T67*Özet!$C$14+U67*Özet!$C$15+V67*Özet!$C$16+W67*Özet!$C$17+X67*Özet!$C$18+Y67*Özet!$C$19)/5,4)</f>
        <v>0.61</v>
      </c>
      <c r="AA67" s="27" t="n">
        <f aca="false">RANK(AE67,$AE$5:$AE$126)+COUNTIF($AE$5:AE67,AE67)-1</f>
        <v>63</v>
      </c>
      <c r="AB67" s="28" t="str">
        <f aca="false">IF(AND(OR(G67="EN",G67="EN (+DE artı)"),Z67&gt;=0.7),"A – Hemen başvur (İngilizce)",IF(Z67&gt;=0.7,"B – Başvur (Almanca gerekli)",IF(AND(OR(G67="EN",G67="EN (+DE artı)"),Z67&gt;=0.6),"B – Başvur (İngilizce)","C – Opsiyonel")))</f>
        <v>C – Opsiyonel</v>
      </c>
      <c r="AC67" s="22" t="s">
        <v>302</v>
      </c>
      <c r="AD67" s="24" t="s">
        <v>688</v>
      </c>
      <c r="AE67" s="29" t="n">
        <f aca="false">Z67+IF(OR(G67="EN",G67="EN (+DE artı)"),1,0)</f>
        <v>0.61</v>
      </c>
    </row>
    <row r="68" customFormat="false" ht="75" hidden="false" customHeight="true" outlineLevel="0" collapsed="false">
      <c r="A68" s="22" t="n">
        <v>64</v>
      </c>
      <c r="B68" s="22" t="s">
        <v>689</v>
      </c>
      <c r="C68" s="22" t="s">
        <v>690</v>
      </c>
      <c r="D68" s="22" t="s">
        <v>390</v>
      </c>
      <c r="E68" s="22" t="s">
        <v>116</v>
      </c>
      <c r="F68" s="22" t="s">
        <v>223</v>
      </c>
      <c r="G68" s="22" t="s">
        <v>52</v>
      </c>
      <c r="H68" s="22" t="s">
        <v>691</v>
      </c>
      <c r="I68" s="22" t="s">
        <v>119</v>
      </c>
      <c r="J68" s="22" t="s">
        <v>232</v>
      </c>
      <c r="K68" s="22" t="s">
        <v>692</v>
      </c>
      <c r="L68" s="22" t="s">
        <v>122</v>
      </c>
      <c r="M68" s="22" t="s">
        <v>138</v>
      </c>
      <c r="N68" s="23" t="s">
        <v>693</v>
      </c>
      <c r="O68" s="22" t="s">
        <v>149</v>
      </c>
      <c r="P68" s="22"/>
      <c r="Q68" s="22" t="s">
        <v>694</v>
      </c>
      <c r="R68" s="22" t="s">
        <v>695</v>
      </c>
      <c r="S68" s="22" t="s">
        <v>696</v>
      </c>
      <c r="T68" s="25" t="n">
        <v>3.5</v>
      </c>
      <c r="U68" s="25" t="n">
        <v>4</v>
      </c>
      <c r="V68" s="25" t="n">
        <v>1</v>
      </c>
      <c r="W68" s="25" t="n">
        <v>3.5</v>
      </c>
      <c r="X68" s="25" t="n">
        <v>5</v>
      </c>
      <c r="Y68" s="25" t="n">
        <v>4</v>
      </c>
      <c r="Z68" s="26" t="n">
        <f aca="false">ROUND((T68*Özet!$C$14+U68*Özet!$C$15+V68*Özet!$C$16+W68*Özet!$C$17+X68*Özet!$C$18+Y68*Özet!$C$19)/5,4)</f>
        <v>0.605</v>
      </c>
      <c r="AA68" s="27" t="n">
        <f aca="false">RANK(AE68,$AE$5:$AE$126)+COUNTIF($AE$5:AE68,AE68)-1</f>
        <v>64</v>
      </c>
      <c r="AB68" s="28" t="str">
        <f aca="false">IF(AND(OR(G68="EN",G68="EN (+DE artı)"),Z68&gt;=0.7),"A – Hemen başvur (İngilizce)",IF(Z68&gt;=0.7,"B – Başvur (Almanca gerekli)",IF(AND(OR(G68="EN",G68="EN (+DE artı)"),Z68&gt;=0.6),"B – Başvur (İngilizce)","C – Opsiyonel")))</f>
        <v>C – Opsiyonel</v>
      </c>
      <c r="AC68" s="22" t="s">
        <v>356</v>
      </c>
      <c r="AD68" s="24" t="s">
        <v>697</v>
      </c>
      <c r="AE68" s="29" t="n">
        <f aca="false">Z68+IF(OR(G68="EN",G68="EN (+DE artı)"),1,0)</f>
        <v>0.605</v>
      </c>
    </row>
    <row r="69" customFormat="false" ht="75" hidden="false" customHeight="true" outlineLevel="0" collapsed="false">
      <c r="A69" s="22" t="n">
        <v>65</v>
      </c>
      <c r="B69" s="22" t="s">
        <v>284</v>
      </c>
      <c r="C69" s="22" t="s">
        <v>698</v>
      </c>
      <c r="D69" s="22" t="s">
        <v>699</v>
      </c>
      <c r="E69" s="22" t="s">
        <v>116</v>
      </c>
      <c r="F69" s="22" t="s">
        <v>248</v>
      </c>
      <c r="G69" s="22" t="s">
        <v>44</v>
      </c>
      <c r="H69" s="22" t="s">
        <v>700</v>
      </c>
      <c r="I69" s="22" t="s">
        <v>119</v>
      </c>
      <c r="J69" s="22" t="s">
        <v>232</v>
      </c>
      <c r="K69" s="22" t="s">
        <v>701</v>
      </c>
      <c r="L69" s="22" t="s">
        <v>214</v>
      </c>
      <c r="M69" s="22" t="s">
        <v>138</v>
      </c>
      <c r="N69" s="23" t="s">
        <v>702</v>
      </c>
      <c r="O69" s="22" t="s">
        <v>125</v>
      </c>
      <c r="P69" s="22"/>
      <c r="Q69" s="22" t="s">
        <v>703</v>
      </c>
      <c r="R69" s="22" t="s">
        <v>704</v>
      </c>
      <c r="S69" s="22" t="s">
        <v>705</v>
      </c>
      <c r="T69" s="25" t="n">
        <v>2.5</v>
      </c>
      <c r="U69" s="25" t="n">
        <v>4</v>
      </c>
      <c r="V69" s="25" t="n">
        <v>2</v>
      </c>
      <c r="W69" s="25" t="n">
        <v>3.5</v>
      </c>
      <c r="X69" s="25" t="n">
        <v>5</v>
      </c>
      <c r="Y69" s="25" t="n">
        <v>4</v>
      </c>
      <c r="Z69" s="26" t="n">
        <f aca="false">ROUND((T69*Özet!$C$14+U69*Özet!$C$15+V69*Özet!$C$16+W69*Özet!$C$17+X69*Özet!$C$18+Y69*Özet!$C$19)/5,4)</f>
        <v>0.605</v>
      </c>
      <c r="AA69" s="27" t="n">
        <f aca="false">RANK(AE69,$AE$5:$AE$126)+COUNTIF($AE$5:AE69,AE69)-1</f>
        <v>65</v>
      </c>
      <c r="AB69" s="28" t="str">
        <f aca="false">IF(AND(OR(G69="EN",G69="EN (+DE artı)"),Z69&gt;=0.7),"A – Hemen başvur (İngilizce)",IF(Z69&gt;=0.7,"B – Başvur (Almanca gerekli)",IF(AND(OR(G69="EN",G69="EN (+DE artı)"),Z69&gt;=0.6),"B – Başvur (İngilizce)","C – Opsiyonel")))</f>
        <v>C – Opsiyonel</v>
      </c>
      <c r="AC69" s="22" t="s">
        <v>706</v>
      </c>
      <c r="AD69" s="24" t="s">
        <v>294</v>
      </c>
      <c r="AE69" s="29" t="n">
        <f aca="false">Z69+IF(OR(G69="EN",G69="EN (+DE artı)"),1,0)</f>
        <v>0.605</v>
      </c>
    </row>
    <row r="70" customFormat="false" ht="75" hidden="false" customHeight="true" outlineLevel="0" collapsed="false">
      <c r="A70" s="22" t="n">
        <v>66</v>
      </c>
      <c r="B70" s="22" t="s">
        <v>346</v>
      </c>
      <c r="C70" s="22" t="s">
        <v>707</v>
      </c>
      <c r="D70" s="22" t="s">
        <v>416</v>
      </c>
      <c r="E70" s="22" t="s">
        <v>116</v>
      </c>
      <c r="F70" s="22" t="s">
        <v>708</v>
      </c>
      <c r="G70" s="22" t="s">
        <v>52</v>
      </c>
      <c r="H70" s="22" t="s">
        <v>709</v>
      </c>
      <c r="I70" s="22" t="s">
        <v>119</v>
      </c>
      <c r="J70" s="22" t="s">
        <v>120</v>
      </c>
      <c r="K70" s="22" t="s">
        <v>710</v>
      </c>
      <c r="L70" s="22" t="s">
        <v>339</v>
      </c>
      <c r="M70" s="22" t="s">
        <v>138</v>
      </c>
      <c r="N70" s="23" t="s">
        <v>711</v>
      </c>
      <c r="O70" s="22" t="s">
        <v>125</v>
      </c>
      <c r="P70" s="24" t="s">
        <v>712</v>
      </c>
      <c r="Q70" s="22" t="s">
        <v>713</v>
      </c>
      <c r="R70" s="22" t="s">
        <v>714</v>
      </c>
      <c r="S70" s="22" t="s">
        <v>715</v>
      </c>
      <c r="T70" s="25" t="n">
        <v>3.5</v>
      </c>
      <c r="U70" s="25" t="n">
        <v>4.5</v>
      </c>
      <c r="V70" s="25" t="n">
        <v>1</v>
      </c>
      <c r="W70" s="25" t="n">
        <v>5</v>
      </c>
      <c r="X70" s="25" t="n">
        <v>5</v>
      </c>
      <c r="Y70" s="25" t="n">
        <v>2.5</v>
      </c>
      <c r="Z70" s="26" t="n">
        <f aca="false">ROUND((T70*Özet!$C$14+U70*Özet!$C$15+V70*Özet!$C$16+W70*Özet!$C$17+X70*Özet!$C$18+Y70*Özet!$C$19)/5,4)</f>
        <v>0.605</v>
      </c>
      <c r="AA70" s="27" t="n">
        <f aca="false">RANK(AE70,$AE$5:$AE$126)+COUNTIF($AE$5:AE70,AE70)-1</f>
        <v>66</v>
      </c>
      <c r="AB70" s="28" t="str">
        <f aca="false">IF(AND(OR(G70="EN",G70="EN (+DE artı)"),Z70&gt;=0.7),"A – Hemen başvur (İngilizce)",IF(Z70&gt;=0.7,"B – Başvur (Almanca gerekli)",IF(AND(OR(G70="EN",G70="EN (+DE artı)"),Z70&gt;=0.6),"B – Başvur (İngilizce)","C – Opsiyonel")))</f>
        <v>C – Opsiyonel</v>
      </c>
      <c r="AC70" s="22" t="s">
        <v>356</v>
      </c>
      <c r="AD70" s="24" t="s">
        <v>357</v>
      </c>
      <c r="AE70" s="29" t="n">
        <f aca="false">Z70+IF(OR(G70="EN",G70="EN (+DE artı)"),1,0)</f>
        <v>0.605</v>
      </c>
    </row>
    <row r="71" customFormat="false" ht="75" hidden="false" customHeight="true" outlineLevel="0" collapsed="false">
      <c r="A71" s="22" t="n">
        <v>67</v>
      </c>
      <c r="B71" s="22" t="s">
        <v>716</v>
      </c>
      <c r="C71" s="22" t="s">
        <v>717</v>
      </c>
      <c r="D71" s="22" t="s">
        <v>718</v>
      </c>
      <c r="E71" s="22" t="s">
        <v>200</v>
      </c>
      <c r="F71" s="22" t="s">
        <v>210</v>
      </c>
      <c r="G71" s="22" t="s">
        <v>44</v>
      </c>
      <c r="H71" s="22" t="s">
        <v>277</v>
      </c>
      <c r="I71" s="22" t="s">
        <v>119</v>
      </c>
      <c r="J71" s="22" t="s">
        <v>212</v>
      </c>
      <c r="K71" s="22" t="s">
        <v>719</v>
      </c>
      <c r="L71" s="22" t="s">
        <v>147</v>
      </c>
      <c r="M71" s="22" t="s">
        <v>138</v>
      </c>
      <c r="N71" s="23" t="s">
        <v>720</v>
      </c>
      <c r="O71" s="22" t="s">
        <v>125</v>
      </c>
      <c r="P71" s="22"/>
      <c r="Q71" s="22" t="s">
        <v>721</v>
      </c>
      <c r="R71" s="22" t="s">
        <v>119</v>
      </c>
      <c r="S71" s="22" t="s">
        <v>219</v>
      </c>
      <c r="T71" s="25" t="n">
        <v>4</v>
      </c>
      <c r="U71" s="25" t="n">
        <v>3</v>
      </c>
      <c r="V71" s="25" t="n">
        <v>2</v>
      </c>
      <c r="W71" s="25" t="n">
        <v>4</v>
      </c>
      <c r="X71" s="25" t="n">
        <v>2</v>
      </c>
      <c r="Y71" s="25" t="n">
        <v>3.5</v>
      </c>
      <c r="Z71" s="26" t="n">
        <f aca="false">ROUND((T71*Özet!$C$14+U71*Özet!$C$15+V71*Özet!$C$16+W71*Özet!$C$17+X71*Özet!$C$18+Y71*Özet!$C$19)/5,4)</f>
        <v>0.6</v>
      </c>
      <c r="AA71" s="27" t="n">
        <f aca="false">RANK(AE71,$AE$5:$AE$126)+COUNTIF($AE$5:AE71,AE71)-1</f>
        <v>67</v>
      </c>
      <c r="AB71" s="28" t="str">
        <f aca="false">IF(AND(OR(G71="EN",G71="EN (+DE artı)"),Z71&gt;=0.7),"A – Hemen başvur (İngilizce)",IF(Z71&gt;=0.7,"B – Başvur (Almanca gerekli)",IF(AND(OR(G71="EN",G71="EN (+DE artı)"),Z71&gt;=0.6),"B – Başvur (İngilizce)","C – Opsiyonel")))</f>
        <v>C – Opsiyonel</v>
      </c>
      <c r="AC71" s="22" t="s">
        <v>312</v>
      </c>
      <c r="AD71" s="24" t="s">
        <v>722</v>
      </c>
      <c r="AE71" s="29" t="n">
        <f aca="false">Z71+IF(OR(G71="EN",G71="EN (+DE artı)"),1,0)</f>
        <v>0.6</v>
      </c>
    </row>
    <row r="72" customFormat="false" ht="75" hidden="false" customHeight="true" outlineLevel="0" collapsed="false">
      <c r="A72" s="22" t="n">
        <v>68</v>
      </c>
      <c r="B72" s="22" t="s">
        <v>314</v>
      </c>
      <c r="C72" s="22" t="s">
        <v>723</v>
      </c>
      <c r="D72" s="22" t="s">
        <v>316</v>
      </c>
      <c r="E72" s="22" t="s">
        <v>116</v>
      </c>
      <c r="F72" s="22" t="s">
        <v>248</v>
      </c>
      <c r="G72" s="22" t="s">
        <v>52</v>
      </c>
      <c r="H72" s="22" t="s">
        <v>724</v>
      </c>
      <c r="I72" s="22" t="s">
        <v>119</v>
      </c>
      <c r="J72" s="22" t="s">
        <v>232</v>
      </c>
      <c r="K72" s="22" t="s">
        <v>725</v>
      </c>
      <c r="L72" s="22" t="s">
        <v>260</v>
      </c>
      <c r="M72" s="22" t="s">
        <v>138</v>
      </c>
      <c r="N72" s="23" t="s">
        <v>726</v>
      </c>
      <c r="O72" s="22" t="s">
        <v>149</v>
      </c>
      <c r="P72" s="22"/>
      <c r="Q72" s="22" t="s">
        <v>727</v>
      </c>
      <c r="R72" s="22" t="s">
        <v>728</v>
      </c>
      <c r="S72" s="22" t="s">
        <v>331</v>
      </c>
      <c r="T72" s="25" t="n">
        <v>3.5</v>
      </c>
      <c r="U72" s="25" t="n">
        <v>4</v>
      </c>
      <c r="V72" s="25" t="n">
        <v>1</v>
      </c>
      <c r="W72" s="25" t="n">
        <v>4</v>
      </c>
      <c r="X72" s="25" t="n">
        <v>5</v>
      </c>
      <c r="Y72" s="25" t="n">
        <v>3.5</v>
      </c>
      <c r="Z72" s="26" t="n">
        <f aca="false">ROUND((T72*Özet!$C$14+U72*Özet!$C$15+V72*Özet!$C$16+W72*Özet!$C$17+X72*Özet!$C$18+Y72*Özet!$C$19)/5,4)</f>
        <v>0.6</v>
      </c>
      <c r="AA72" s="27" t="n">
        <f aca="false">RANK(AE72,$AE$5:$AE$126)+COUNTIF($AE$5:AE72,AE72)-1</f>
        <v>68</v>
      </c>
      <c r="AB72" s="28" t="str">
        <f aca="false">IF(AND(OR(G72="EN",G72="EN (+DE artı)"),Z72&gt;=0.7),"A – Hemen başvur (İngilizce)",IF(Z72&gt;=0.7,"B – Başvur (Almanca gerekli)",IF(AND(OR(G72="EN",G72="EN (+DE artı)"),Z72&gt;=0.6),"B – Başvur (İngilizce)","C – Opsiyonel")))</f>
        <v>C – Opsiyonel</v>
      </c>
      <c r="AC72" s="22" t="s">
        <v>356</v>
      </c>
      <c r="AD72" s="24" t="s">
        <v>323</v>
      </c>
      <c r="AE72" s="29" t="n">
        <f aca="false">Z72+IF(OR(G72="EN",G72="EN (+DE artı)"),1,0)</f>
        <v>0.6</v>
      </c>
    </row>
    <row r="73" customFormat="false" ht="75" hidden="false" customHeight="true" outlineLevel="0" collapsed="false">
      <c r="A73" s="22" t="n">
        <v>69</v>
      </c>
      <c r="B73" s="22" t="s">
        <v>729</v>
      </c>
      <c r="C73" s="22" t="s">
        <v>730</v>
      </c>
      <c r="D73" s="22" t="s">
        <v>731</v>
      </c>
      <c r="E73" s="22" t="s">
        <v>116</v>
      </c>
      <c r="F73" s="22" t="s">
        <v>210</v>
      </c>
      <c r="G73" s="22" t="s">
        <v>52</v>
      </c>
      <c r="H73" s="22" t="s">
        <v>732</v>
      </c>
      <c r="I73" s="22" t="s">
        <v>119</v>
      </c>
      <c r="J73" s="22" t="s">
        <v>212</v>
      </c>
      <c r="K73" s="22" t="s">
        <v>733</v>
      </c>
      <c r="L73" s="22" t="s">
        <v>734</v>
      </c>
      <c r="M73" s="22" t="s">
        <v>138</v>
      </c>
      <c r="N73" s="23" t="s">
        <v>735</v>
      </c>
      <c r="O73" s="22" t="s">
        <v>125</v>
      </c>
      <c r="P73" s="22"/>
      <c r="Q73" s="22" t="s">
        <v>736</v>
      </c>
      <c r="R73" s="22" t="s">
        <v>728</v>
      </c>
      <c r="S73" s="22" t="s">
        <v>331</v>
      </c>
      <c r="T73" s="25" t="n">
        <v>4</v>
      </c>
      <c r="U73" s="25" t="n">
        <v>3</v>
      </c>
      <c r="V73" s="25" t="n">
        <v>1</v>
      </c>
      <c r="W73" s="25" t="n">
        <v>5</v>
      </c>
      <c r="X73" s="25" t="n">
        <v>5</v>
      </c>
      <c r="Y73" s="25" t="n">
        <v>3</v>
      </c>
      <c r="Z73" s="26" t="n">
        <f aca="false">ROUND((T73*Özet!$C$14+U73*Özet!$C$15+V73*Özet!$C$16+W73*Özet!$C$17+X73*Özet!$C$18+Y73*Özet!$C$19)/5,4)</f>
        <v>0.6</v>
      </c>
      <c r="AA73" s="27" t="n">
        <f aca="false">RANK(AE73,$AE$5:$AE$126)+COUNTIF($AE$5:AE73,AE73)-1</f>
        <v>69</v>
      </c>
      <c r="AB73" s="28" t="str">
        <f aca="false">IF(AND(OR(G73="EN",G73="EN (+DE artı)"),Z73&gt;=0.7),"A – Hemen başvur (İngilizce)",IF(Z73&gt;=0.7,"B – Başvur (Almanca gerekli)",IF(AND(OR(G73="EN",G73="EN (+DE artı)"),Z73&gt;=0.6),"B – Başvur (İngilizce)","C – Opsiyonel")))</f>
        <v>C – Opsiyonel</v>
      </c>
      <c r="AC73" s="22" t="s">
        <v>356</v>
      </c>
      <c r="AD73" s="24" t="s">
        <v>737</v>
      </c>
      <c r="AE73" s="29" t="n">
        <f aca="false">Z73+IF(OR(G73="EN",G73="EN (+DE artı)"),1,0)</f>
        <v>0.6</v>
      </c>
    </row>
    <row r="74" customFormat="false" ht="75" hidden="false" customHeight="true" outlineLevel="0" collapsed="false">
      <c r="A74" s="22" t="n">
        <v>70</v>
      </c>
      <c r="B74" s="22" t="s">
        <v>378</v>
      </c>
      <c r="C74" s="22" t="s">
        <v>738</v>
      </c>
      <c r="D74" s="22" t="s">
        <v>739</v>
      </c>
      <c r="E74" s="22" t="s">
        <v>381</v>
      </c>
      <c r="F74" s="22" t="s">
        <v>740</v>
      </c>
      <c r="G74" s="22" t="s">
        <v>52</v>
      </c>
      <c r="H74" s="22" t="s">
        <v>741</v>
      </c>
      <c r="I74" s="22" t="s">
        <v>119</v>
      </c>
      <c r="J74" s="22" t="s">
        <v>232</v>
      </c>
      <c r="K74" s="22" t="s">
        <v>742</v>
      </c>
      <c r="L74" s="22" t="s">
        <v>486</v>
      </c>
      <c r="M74" s="22" t="s">
        <v>183</v>
      </c>
      <c r="N74" s="23" t="s">
        <v>743</v>
      </c>
      <c r="O74" s="22" t="s">
        <v>125</v>
      </c>
      <c r="P74" s="22"/>
      <c r="Q74" s="22" t="s">
        <v>744</v>
      </c>
      <c r="R74" s="22" t="s">
        <v>745</v>
      </c>
      <c r="S74" s="22" t="s">
        <v>331</v>
      </c>
      <c r="T74" s="25" t="n">
        <v>4</v>
      </c>
      <c r="U74" s="25" t="n">
        <v>4</v>
      </c>
      <c r="V74" s="25" t="n">
        <v>1</v>
      </c>
      <c r="W74" s="25" t="n">
        <v>4</v>
      </c>
      <c r="X74" s="25" t="n">
        <v>3</v>
      </c>
      <c r="Y74" s="25" t="n">
        <v>4</v>
      </c>
      <c r="Z74" s="26" t="n">
        <f aca="false">ROUND((T74*Özet!$C$14+U74*Özet!$C$15+V74*Özet!$C$16+W74*Özet!$C$17+X74*Özet!$C$18+Y74*Özet!$C$19)/5,4)</f>
        <v>0.6</v>
      </c>
      <c r="AA74" s="27" t="n">
        <f aca="false">RANK(AE74,$AE$5:$AE$126)+COUNTIF($AE$5:AE74,AE74)-1</f>
        <v>70</v>
      </c>
      <c r="AB74" s="28" t="str">
        <f aca="false">IF(AND(OR(G74="EN",G74="EN (+DE artı)"),Z74&gt;=0.7),"A – Hemen başvur (İngilizce)",IF(Z74&gt;=0.7,"B – Başvur (Almanca gerekli)",IF(AND(OR(G74="EN",G74="EN (+DE artı)"),Z74&gt;=0.6),"B – Başvur (İngilizce)","C – Opsiyonel")))</f>
        <v>C – Opsiyonel</v>
      </c>
      <c r="AC74" s="22" t="s">
        <v>356</v>
      </c>
      <c r="AD74" s="24" t="s">
        <v>746</v>
      </c>
      <c r="AE74" s="29" t="n">
        <f aca="false">Z74+IF(OR(G74="EN",G74="EN (+DE artı)"),1,0)</f>
        <v>0.6</v>
      </c>
    </row>
    <row r="75" customFormat="false" ht="75" hidden="false" customHeight="true" outlineLevel="0" collapsed="false">
      <c r="A75" s="22" t="n">
        <v>71</v>
      </c>
      <c r="B75" s="22" t="s">
        <v>747</v>
      </c>
      <c r="C75" s="22" t="s">
        <v>748</v>
      </c>
      <c r="D75" s="22" t="s">
        <v>390</v>
      </c>
      <c r="E75" s="22" t="s">
        <v>116</v>
      </c>
      <c r="F75" s="22" t="s">
        <v>248</v>
      </c>
      <c r="G75" s="22" t="s">
        <v>52</v>
      </c>
      <c r="H75" s="22" t="s">
        <v>749</v>
      </c>
      <c r="I75" s="22" t="s">
        <v>119</v>
      </c>
      <c r="J75" s="22" t="s">
        <v>232</v>
      </c>
      <c r="K75" s="22" t="s">
        <v>750</v>
      </c>
      <c r="L75" s="22" t="s">
        <v>214</v>
      </c>
      <c r="M75" s="22" t="s">
        <v>138</v>
      </c>
      <c r="N75" s="23" t="s">
        <v>751</v>
      </c>
      <c r="O75" s="22" t="s">
        <v>149</v>
      </c>
      <c r="P75" s="22"/>
      <c r="Q75" s="22" t="s">
        <v>752</v>
      </c>
      <c r="R75" s="22" t="s">
        <v>753</v>
      </c>
      <c r="S75" s="22" t="s">
        <v>355</v>
      </c>
      <c r="T75" s="25" t="n">
        <v>3.5</v>
      </c>
      <c r="U75" s="25" t="n">
        <v>4</v>
      </c>
      <c r="V75" s="25" t="n">
        <v>1</v>
      </c>
      <c r="W75" s="25" t="n">
        <v>3.5</v>
      </c>
      <c r="X75" s="25" t="n">
        <v>5</v>
      </c>
      <c r="Y75" s="25" t="n">
        <v>3.5</v>
      </c>
      <c r="Z75" s="26" t="n">
        <f aca="false">ROUND((T75*Özet!$C$14+U75*Özet!$C$15+V75*Özet!$C$16+W75*Özet!$C$17+X75*Özet!$C$18+Y75*Özet!$C$19)/5,4)</f>
        <v>0.595</v>
      </c>
      <c r="AA75" s="27" t="n">
        <f aca="false">RANK(AE75,$AE$5:$AE$126)+COUNTIF($AE$5:AE75,AE75)-1</f>
        <v>71</v>
      </c>
      <c r="AB75" s="28" t="str">
        <f aca="false">IF(AND(OR(G75="EN",G75="EN (+DE artı)"),Z75&gt;=0.7),"A – Hemen başvur (İngilizce)",IF(Z75&gt;=0.7,"B – Başvur (Almanca gerekli)",IF(AND(OR(G75="EN",G75="EN (+DE artı)"),Z75&gt;=0.6),"B – Başvur (İngilizce)","C – Opsiyonel")))</f>
        <v>C – Opsiyonel</v>
      </c>
      <c r="AC75" s="22" t="s">
        <v>356</v>
      </c>
      <c r="AD75" s="24" t="s">
        <v>754</v>
      </c>
      <c r="AE75" s="29" t="n">
        <f aca="false">Z75+IF(OR(G75="EN",G75="EN (+DE artı)"),1,0)</f>
        <v>0.595</v>
      </c>
    </row>
    <row r="76" customFormat="false" ht="75" hidden="false" customHeight="true" outlineLevel="0" collapsed="false">
      <c r="A76" s="22" t="n">
        <v>72</v>
      </c>
      <c r="B76" s="22" t="s">
        <v>207</v>
      </c>
      <c r="C76" s="22" t="s">
        <v>755</v>
      </c>
      <c r="D76" s="22" t="s">
        <v>390</v>
      </c>
      <c r="E76" s="22" t="s">
        <v>116</v>
      </c>
      <c r="F76" s="22" t="s">
        <v>223</v>
      </c>
      <c r="G76" s="22" t="s">
        <v>52</v>
      </c>
      <c r="H76" s="22" t="s">
        <v>756</v>
      </c>
      <c r="I76" s="22" t="s">
        <v>119</v>
      </c>
      <c r="J76" s="22" t="s">
        <v>232</v>
      </c>
      <c r="K76" s="22" t="s">
        <v>757</v>
      </c>
      <c r="L76" s="22" t="s">
        <v>122</v>
      </c>
      <c r="M76" s="22" t="s">
        <v>138</v>
      </c>
      <c r="N76" s="23" t="s">
        <v>758</v>
      </c>
      <c r="O76" s="22" t="s">
        <v>149</v>
      </c>
      <c r="P76" s="22"/>
      <c r="Q76" s="22" t="s">
        <v>759</v>
      </c>
      <c r="R76" s="22" t="s">
        <v>760</v>
      </c>
      <c r="S76" s="22" t="s">
        <v>761</v>
      </c>
      <c r="T76" s="25" t="n">
        <v>3.5</v>
      </c>
      <c r="U76" s="25" t="n">
        <v>4</v>
      </c>
      <c r="V76" s="25" t="n">
        <v>1</v>
      </c>
      <c r="W76" s="25" t="n">
        <v>3.5</v>
      </c>
      <c r="X76" s="25" t="n">
        <v>5</v>
      </c>
      <c r="Y76" s="25" t="n">
        <v>3.5</v>
      </c>
      <c r="Z76" s="26" t="n">
        <f aca="false">ROUND((T76*Özet!$C$14+U76*Özet!$C$15+V76*Özet!$C$16+W76*Özet!$C$17+X76*Özet!$C$18+Y76*Özet!$C$19)/5,4)</f>
        <v>0.595</v>
      </c>
      <c r="AA76" s="27" t="n">
        <f aca="false">RANK(AE76,$AE$5:$AE$126)+COUNTIF($AE$5:AE76,AE76)-1</f>
        <v>72</v>
      </c>
      <c r="AB76" s="28" t="str">
        <f aca="false">IF(AND(OR(G76="EN",G76="EN (+DE artı)"),Z76&gt;=0.7),"A – Hemen başvur (İngilizce)",IF(Z76&gt;=0.7,"B – Başvur (Almanca gerekli)",IF(AND(OR(G76="EN",G76="EN (+DE artı)"),Z76&gt;=0.6),"B – Başvur (İngilizce)","C – Opsiyonel")))</f>
        <v>C – Opsiyonel</v>
      </c>
      <c r="AC76" s="22" t="s">
        <v>445</v>
      </c>
      <c r="AD76" s="24" t="s">
        <v>221</v>
      </c>
      <c r="AE76" s="29" t="n">
        <f aca="false">Z76+IF(OR(G76="EN",G76="EN (+DE artı)"),1,0)</f>
        <v>0.595</v>
      </c>
    </row>
    <row r="77" customFormat="false" ht="75" hidden="false" customHeight="true" outlineLevel="0" collapsed="false">
      <c r="A77" s="22" t="n">
        <v>73</v>
      </c>
      <c r="B77" s="22" t="s">
        <v>314</v>
      </c>
      <c r="C77" s="22" t="s">
        <v>762</v>
      </c>
      <c r="D77" s="22" t="s">
        <v>316</v>
      </c>
      <c r="E77" s="22" t="s">
        <v>116</v>
      </c>
      <c r="F77" s="22" t="s">
        <v>248</v>
      </c>
      <c r="G77" s="22" t="s">
        <v>44</v>
      </c>
      <c r="H77" s="22" t="s">
        <v>763</v>
      </c>
      <c r="I77" s="22" t="s">
        <v>119</v>
      </c>
      <c r="J77" s="22" t="s">
        <v>120</v>
      </c>
      <c r="K77" s="22" t="s">
        <v>764</v>
      </c>
      <c r="L77" s="22" t="s">
        <v>182</v>
      </c>
      <c r="M77" s="22" t="s">
        <v>138</v>
      </c>
      <c r="N77" s="23" t="s">
        <v>765</v>
      </c>
      <c r="O77" s="22" t="s">
        <v>149</v>
      </c>
      <c r="P77" s="22"/>
      <c r="Q77" s="22" t="s">
        <v>766</v>
      </c>
      <c r="R77" s="22" t="s">
        <v>767</v>
      </c>
      <c r="S77" s="22" t="s">
        <v>768</v>
      </c>
      <c r="T77" s="25" t="n">
        <v>2</v>
      </c>
      <c r="U77" s="25" t="n">
        <v>4.5</v>
      </c>
      <c r="V77" s="25" t="n">
        <v>2</v>
      </c>
      <c r="W77" s="25" t="n">
        <v>4</v>
      </c>
      <c r="X77" s="25" t="n">
        <v>5</v>
      </c>
      <c r="Y77" s="25" t="n">
        <v>4</v>
      </c>
      <c r="Z77" s="26" t="n">
        <f aca="false">ROUND((T77*Özet!$C$14+U77*Özet!$C$15+V77*Özet!$C$16+W77*Özet!$C$17+X77*Özet!$C$18+Y77*Özet!$C$19)/5,4)</f>
        <v>0.595</v>
      </c>
      <c r="AA77" s="27" t="n">
        <f aca="false">RANK(AE77,$AE$5:$AE$126)+COUNTIF($AE$5:AE77,AE77)-1</f>
        <v>73</v>
      </c>
      <c r="AB77" s="28" t="str">
        <f aca="false">IF(AND(OR(G77="EN",G77="EN (+DE artı)"),Z77&gt;=0.7),"A – Hemen başvur (İngilizce)",IF(Z77&gt;=0.7,"B – Başvur (Almanca gerekli)",IF(AND(OR(G77="EN",G77="EN (+DE artı)"),Z77&gt;=0.6),"B – Başvur (İngilizce)","C – Opsiyonel")))</f>
        <v>C – Opsiyonel</v>
      </c>
      <c r="AC77" s="22" t="s">
        <v>312</v>
      </c>
      <c r="AD77" s="24" t="s">
        <v>323</v>
      </c>
      <c r="AE77" s="29" t="n">
        <f aca="false">Z77+IF(OR(G77="EN",G77="EN (+DE artı)"),1,0)</f>
        <v>0.595</v>
      </c>
    </row>
    <row r="78" customFormat="false" ht="75" hidden="false" customHeight="true" outlineLevel="0" collapsed="false">
      <c r="A78" s="22" t="n">
        <v>74</v>
      </c>
      <c r="B78" s="22" t="s">
        <v>388</v>
      </c>
      <c r="C78" s="22" t="s">
        <v>769</v>
      </c>
      <c r="D78" s="22" t="s">
        <v>390</v>
      </c>
      <c r="E78" s="22" t="s">
        <v>116</v>
      </c>
      <c r="F78" s="22" t="s">
        <v>223</v>
      </c>
      <c r="G78" s="22" t="s">
        <v>52</v>
      </c>
      <c r="H78" s="22" t="s">
        <v>770</v>
      </c>
      <c r="I78" s="22" t="s">
        <v>119</v>
      </c>
      <c r="J78" s="22" t="s">
        <v>120</v>
      </c>
      <c r="K78" s="22" t="s">
        <v>449</v>
      </c>
      <c r="L78" s="22" t="s">
        <v>260</v>
      </c>
      <c r="M78" s="22" t="s">
        <v>138</v>
      </c>
      <c r="N78" s="23" t="s">
        <v>771</v>
      </c>
      <c r="O78" s="22" t="s">
        <v>149</v>
      </c>
      <c r="P78" s="24" t="s">
        <v>772</v>
      </c>
      <c r="Q78" s="22" t="s">
        <v>773</v>
      </c>
      <c r="R78" s="22" t="s">
        <v>774</v>
      </c>
      <c r="S78" s="22" t="s">
        <v>775</v>
      </c>
      <c r="T78" s="25" t="n">
        <v>3</v>
      </c>
      <c r="U78" s="25" t="n">
        <v>4.5</v>
      </c>
      <c r="V78" s="25" t="n">
        <v>1</v>
      </c>
      <c r="W78" s="25" t="n">
        <v>4</v>
      </c>
      <c r="X78" s="25" t="n">
        <v>5</v>
      </c>
      <c r="Y78" s="25" t="n">
        <v>4</v>
      </c>
      <c r="Z78" s="26" t="n">
        <f aca="false">ROUND((T78*Özet!$C$14+U78*Özet!$C$15+V78*Özet!$C$16+W78*Özet!$C$17+X78*Özet!$C$18+Y78*Özet!$C$19)/5,4)</f>
        <v>0.595</v>
      </c>
      <c r="AA78" s="27" t="n">
        <f aca="false">RANK(AE78,$AE$5:$AE$126)+COUNTIF($AE$5:AE78,AE78)-1</f>
        <v>74</v>
      </c>
      <c r="AB78" s="28" t="str">
        <f aca="false">IF(AND(OR(G78="EN",G78="EN (+DE artı)"),Z78&gt;=0.7),"A – Hemen başvur (İngilizce)",IF(Z78&gt;=0.7,"B – Başvur (Almanca gerekli)",IF(AND(OR(G78="EN",G78="EN (+DE artı)"),Z78&gt;=0.6),"B – Başvur (İngilizce)","C – Opsiyonel")))</f>
        <v>C – Opsiyonel</v>
      </c>
      <c r="AC78" s="22" t="s">
        <v>356</v>
      </c>
      <c r="AD78" s="24" t="s">
        <v>396</v>
      </c>
      <c r="AE78" s="29" t="n">
        <f aca="false">Z78+IF(OR(G78="EN",G78="EN (+DE artı)"),1,0)</f>
        <v>0.595</v>
      </c>
    </row>
    <row r="79" customFormat="false" ht="75" hidden="false" customHeight="true" outlineLevel="0" collapsed="false">
      <c r="A79" s="22" t="n">
        <v>75</v>
      </c>
      <c r="B79" s="22" t="s">
        <v>776</v>
      </c>
      <c r="C79" s="22" t="s">
        <v>777</v>
      </c>
      <c r="D79" s="22" t="s">
        <v>268</v>
      </c>
      <c r="E79" s="22" t="s">
        <v>116</v>
      </c>
      <c r="F79" s="22" t="s">
        <v>248</v>
      </c>
      <c r="G79" s="22" t="s">
        <v>52</v>
      </c>
      <c r="H79" s="22" t="s">
        <v>778</v>
      </c>
      <c r="I79" s="22" t="s">
        <v>119</v>
      </c>
      <c r="J79" s="22" t="s">
        <v>120</v>
      </c>
      <c r="K79" s="22" t="s">
        <v>779</v>
      </c>
      <c r="L79" s="22" t="s">
        <v>780</v>
      </c>
      <c r="M79" s="22" t="s">
        <v>183</v>
      </c>
      <c r="N79" s="23" t="s">
        <v>781</v>
      </c>
      <c r="O79" s="22" t="s">
        <v>125</v>
      </c>
      <c r="P79" s="22"/>
      <c r="Q79" s="22" t="s">
        <v>782</v>
      </c>
      <c r="R79" s="22" t="s">
        <v>783</v>
      </c>
      <c r="S79" s="22" t="s">
        <v>761</v>
      </c>
      <c r="T79" s="25" t="n">
        <v>3</v>
      </c>
      <c r="U79" s="25" t="n">
        <v>4.5</v>
      </c>
      <c r="V79" s="25" t="n">
        <v>1</v>
      </c>
      <c r="W79" s="25" t="n">
        <v>5</v>
      </c>
      <c r="X79" s="25" t="n">
        <v>5</v>
      </c>
      <c r="Y79" s="25" t="n">
        <v>3.5</v>
      </c>
      <c r="Z79" s="26" t="n">
        <f aca="false">ROUND((T79*Özet!$C$14+U79*Özet!$C$15+V79*Özet!$C$16+W79*Özet!$C$17+X79*Özet!$C$18+Y79*Özet!$C$19)/5,4)</f>
        <v>0.595</v>
      </c>
      <c r="AA79" s="27" t="n">
        <f aca="false">RANK(AE79,$AE$5:$AE$126)+COUNTIF($AE$5:AE79,AE79)-1</f>
        <v>75</v>
      </c>
      <c r="AB79" s="28" t="str">
        <f aca="false">IF(AND(OR(G79="EN",G79="EN (+DE artı)"),Z79&gt;=0.7),"A – Hemen başvur (İngilizce)",IF(Z79&gt;=0.7,"B – Başvur (Almanca gerekli)",IF(AND(OR(G79="EN",G79="EN (+DE artı)"),Z79&gt;=0.6),"B – Başvur (İngilizce)","C – Opsiyonel")))</f>
        <v>C – Opsiyonel</v>
      </c>
      <c r="AC79" s="22" t="s">
        <v>356</v>
      </c>
      <c r="AD79" s="24" t="s">
        <v>784</v>
      </c>
      <c r="AE79" s="29" t="n">
        <f aca="false">Z79+IF(OR(G79="EN",G79="EN (+DE artı)"),1,0)</f>
        <v>0.595</v>
      </c>
    </row>
    <row r="80" customFormat="false" ht="75" hidden="false" customHeight="true" outlineLevel="0" collapsed="false">
      <c r="A80" s="22" t="n">
        <v>76</v>
      </c>
      <c r="B80" s="22" t="s">
        <v>785</v>
      </c>
      <c r="C80" s="22" t="s">
        <v>786</v>
      </c>
      <c r="D80" s="22" t="s">
        <v>787</v>
      </c>
      <c r="E80" s="22" t="s">
        <v>116</v>
      </c>
      <c r="F80" s="22" t="s">
        <v>210</v>
      </c>
      <c r="G80" s="22" t="s">
        <v>52</v>
      </c>
      <c r="H80" s="22" t="s">
        <v>788</v>
      </c>
      <c r="I80" s="22" t="s">
        <v>119</v>
      </c>
      <c r="J80" s="22" t="s">
        <v>212</v>
      </c>
      <c r="K80" s="22" t="s">
        <v>789</v>
      </c>
      <c r="L80" s="22" t="s">
        <v>339</v>
      </c>
      <c r="M80" s="22" t="s">
        <v>138</v>
      </c>
      <c r="N80" s="23" t="s">
        <v>790</v>
      </c>
      <c r="O80" s="22" t="s">
        <v>149</v>
      </c>
      <c r="P80" s="24" t="s">
        <v>791</v>
      </c>
      <c r="Q80" s="22" t="s">
        <v>792</v>
      </c>
      <c r="R80" s="22" t="s">
        <v>793</v>
      </c>
      <c r="S80" s="22" t="s">
        <v>794</v>
      </c>
      <c r="T80" s="25" t="n">
        <v>4</v>
      </c>
      <c r="U80" s="25" t="n">
        <v>3</v>
      </c>
      <c r="V80" s="25" t="n">
        <v>1</v>
      </c>
      <c r="W80" s="25" t="n">
        <v>4</v>
      </c>
      <c r="X80" s="25" t="n">
        <v>5</v>
      </c>
      <c r="Y80" s="25" t="n">
        <v>3</v>
      </c>
      <c r="Z80" s="26" t="n">
        <f aca="false">ROUND((T80*Özet!$C$14+U80*Özet!$C$15+V80*Özet!$C$16+W80*Özet!$C$17+X80*Özet!$C$18+Y80*Özet!$C$19)/5,4)</f>
        <v>0.59</v>
      </c>
      <c r="AA80" s="27" t="n">
        <f aca="false">RANK(AE80,$AE$5:$AE$126)+COUNTIF($AE$5:AE80,AE80)-1</f>
        <v>76</v>
      </c>
      <c r="AB80" s="28" t="str">
        <f aca="false">IF(AND(OR(G80="EN",G80="EN (+DE artı)"),Z80&gt;=0.7),"A – Hemen başvur (İngilizce)",IF(Z80&gt;=0.7,"B – Başvur (Almanca gerekli)",IF(AND(OR(G80="EN",G80="EN (+DE artı)"),Z80&gt;=0.6),"B – Başvur (İngilizce)","C – Opsiyonel")))</f>
        <v>C – Opsiyonel</v>
      </c>
      <c r="AC80" s="22" t="s">
        <v>356</v>
      </c>
      <c r="AD80" s="24" t="s">
        <v>795</v>
      </c>
      <c r="AE80" s="29" t="n">
        <f aca="false">Z80+IF(OR(G80="EN",G80="EN (+DE artı)"),1,0)</f>
        <v>0.59</v>
      </c>
    </row>
    <row r="81" customFormat="false" ht="75" hidden="false" customHeight="true" outlineLevel="0" collapsed="false">
      <c r="A81" s="22" t="n">
        <v>77</v>
      </c>
      <c r="B81" s="22" t="s">
        <v>796</v>
      </c>
      <c r="C81" s="22" t="s">
        <v>797</v>
      </c>
      <c r="D81" s="22" t="s">
        <v>798</v>
      </c>
      <c r="E81" s="22" t="s">
        <v>200</v>
      </c>
      <c r="F81" s="22" t="s">
        <v>248</v>
      </c>
      <c r="G81" s="22" t="s">
        <v>44</v>
      </c>
      <c r="H81" s="22" t="s">
        <v>799</v>
      </c>
      <c r="I81" s="22" t="s">
        <v>119</v>
      </c>
      <c r="J81" s="22" t="s">
        <v>232</v>
      </c>
      <c r="K81" s="22" t="s">
        <v>136</v>
      </c>
      <c r="L81" s="22" t="s">
        <v>214</v>
      </c>
      <c r="M81" s="22" t="s">
        <v>183</v>
      </c>
      <c r="N81" s="23" t="s">
        <v>800</v>
      </c>
      <c r="O81" s="22" t="s">
        <v>125</v>
      </c>
      <c r="P81" s="22"/>
      <c r="Q81" s="22" t="s">
        <v>801</v>
      </c>
      <c r="R81" s="22" t="s">
        <v>802</v>
      </c>
      <c r="S81" s="22" t="s">
        <v>803</v>
      </c>
      <c r="T81" s="25" t="n">
        <v>3.5</v>
      </c>
      <c r="U81" s="25" t="n">
        <v>4</v>
      </c>
      <c r="V81" s="25" t="n">
        <v>2</v>
      </c>
      <c r="W81" s="25" t="n">
        <v>4</v>
      </c>
      <c r="X81" s="25" t="n">
        <v>2</v>
      </c>
      <c r="Y81" s="25" t="n">
        <v>3</v>
      </c>
      <c r="Z81" s="26" t="n">
        <f aca="false">ROUND((T81*Özet!$C$14+U81*Özet!$C$15+V81*Özet!$C$16+W81*Özet!$C$17+X81*Özet!$C$18+Y81*Özet!$C$19)/5,4)</f>
        <v>0.59</v>
      </c>
      <c r="AA81" s="27" t="n">
        <f aca="false">RANK(AE81,$AE$5:$AE$126)+COUNTIF($AE$5:AE81,AE81)-1</f>
        <v>77</v>
      </c>
      <c r="AB81" s="28" t="str">
        <f aca="false">IF(AND(OR(G81="EN",G81="EN (+DE artı)"),Z81&gt;=0.7),"A – Hemen başvur (İngilizce)",IF(Z81&gt;=0.7,"B – Başvur (Almanca gerekli)",IF(AND(OR(G81="EN",G81="EN (+DE artı)"),Z81&gt;=0.6),"B – Başvur (İngilizce)","C – Opsiyonel")))</f>
        <v>C – Opsiyonel</v>
      </c>
      <c r="AC81" s="22" t="s">
        <v>804</v>
      </c>
      <c r="AD81" s="24" t="s">
        <v>805</v>
      </c>
      <c r="AE81" s="29" t="n">
        <f aca="false">Z81+IF(OR(G81="EN",G81="EN (+DE artı)"),1,0)</f>
        <v>0.59</v>
      </c>
    </row>
    <row r="82" customFormat="false" ht="75" hidden="false" customHeight="true" outlineLevel="0" collapsed="false">
      <c r="A82" s="22" t="n">
        <v>78</v>
      </c>
      <c r="B82" s="22" t="s">
        <v>806</v>
      </c>
      <c r="C82" s="22" t="s">
        <v>807</v>
      </c>
      <c r="D82" s="22" t="s">
        <v>808</v>
      </c>
      <c r="E82" s="22" t="s">
        <v>116</v>
      </c>
      <c r="F82" s="22" t="s">
        <v>223</v>
      </c>
      <c r="G82" s="22" t="s">
        <v>50</v>
      </c>
      <c r="H82" s="22" t="s">
        <v>277</v>
      </c>
      <c r="I82" s="22" t="s">
        <v>119</v>
      </c>
      <c r="J82" s="22" t="s">
        <v>809</v>
      </c>
      <c r="K82" s="22" t="s">
        <v>810</v>
      </c>
      <c r="L82" s="22" t="s">
        <v>260</v>
      </c>
      <c r="M82" s="22" t="s">
        <v>138</v>
      </c>
      <c r="N82" s="23" t="s">
        <v>811</v>
      </c>
      <c r="O82" s="22" t="s">
        <v>149</v>
      </c>
      <c r="P82" s="22"/>
      <c r="Q82" s="22" t="s">
        <v>812</v>
      </c>
      <c r="R82" s="22" t="s">
        <v>813</v>
      </c>
      <c r="S82" s="22" t="s">
        <v>814</v>
      </c>
      <c r="T82" s="25" t="n">
        <v>4</v>
      </c>
      <c r="U82" s="25" t="n">
        <v>2.5</v>
      </c>
      <c r="V82" s="25" t="n">
        <v>1.5</v>
      </c>
      <c r="W82" s="25" t="n">
        <v>3.5</v>
      </c>
      <c r="X82" s="25" t="n">
        <v>5</v>
      </c>
      <c r="Y82" s="25" t="n">
        <v>2.5</v>
      </c>
      <c r="Z82" s="26" t="n">
        <f aca="false">ROUND((T82*Özet!$C$14+U82*Özet!$C$15+V82*Özet!$C$16+W82*Özet!$C$17+X82*Özet!$C$18+Y82*Özet!$C$19)/5,4)</f>
        <v>0.59</v>
      </c>
      <c r="AA82" s="27" t="n">
        <f aca="false">RANK(AE82,$AE$5:$AE$126)+COUNTIF($AE$5:AE82,AE82)-1</f>
        <v>78</v>
      </c>
      <c r="AB82" s="28" t="str">
        <f aca="false">IF(AND(OR(G82="EN",G82="EN (+DE artı)"),Z82&gt;=0.7),"A – Hemen başvur (İngilizce)",IF(Z82&gt;=0.7,"B – Başvur (Almanca gerekli)",IF(AND(OR(G82="EN",G82="EN (+DE artı)"),Z82&gt;=0.6),"B – Başvur (İngilizce)","C – Opsiyonel")))</f>
        <v>C – Opsiyonel</v>
      </c>
      <c r="AC82" s="22" t="s">
        <v>302</v>
      </c>
      <c r="AD82" s="24" t="s">
        <v>815</v>
      </c>
      <c r="AE82" s="29" t="n">
        <f aca="false">Z82+IF(OR(G82="EN",G82="EN (+DE artı)"),1,0)</f>
        <v>0.59</v>
      </c>
    </row>
    <row r="83" customFormat="false" ht="75" hidden="false" customHeight="true" outlineLevel="0" collapsed="false">
      <c r="A83" s="22" t="n">
        <v>79</v>
      </c>
      <c r="B83" s="22" t="s">
        <v>816</v>
      </c>
      <c r="C83" s="22" t="s">
        <v>817</v>
      </c>
      <c r="D83" s="22" t="s">
        <v>258</v>
      </c>
      <c r="E83" s="22" t="s">
        <v>116</v>
      </c>
      <c r="F83" s="22" t="s">
        <v>223</v>
      </c>
      <c r="G83" s="22" t="s">
        <v>52</v>
      </c>
      <c r="H83" s="22" t="s">
        <v>818</v>
      </c>
      <c r="I83" s="22" t="s">
        <v>119</v>
      </c>
      <c r="J83" s="22" t="s">
        <v>232</v>
      </c>
      <c r="K83" s="22" t="s">
        <v>338</v>
      </c>
      <c r="L83" s="22" t="s">
        <v>780</v>
      </c>
      <c r="M83" s="22" t="s">
        <v>183</v>
      </c>
      <c r="N83" s="23" t="s">
        <v>819</v>
      </c>
      <c r="O83" s="22" t="s">
        <v>125</v>
      </c>
      <c r="P83" s="22"/>
      <c r="Q83" s="22" t="s">
        <v>820</v>
      </c>
      <c r="R83" s="22" t="s">
        <v>821</v>
      </c>
      <c r="S83" s="22" t="s">
        <v>822</v>
      </c>
      <c r="T83" s="25" t="n">
        <v>3</v>
      </c>
      <c r="U83" s="25" t="n">
        <v>4</v>
      </c>
      <c r="V83" s="25" t="n">
        <v>1</v>
      </c>
      <c r="W83" s="25" t="n">
        <v>3.5</v>
      </c>
      <c r="X83" s="25" t="n">
        <v>5</v>
      </c>
      <c r="Y83" s="25" t="n">
        <v>4.5</v>
      </c>
      <c r="Z83" s="26" t="n">
        <f aca="false">ROUND((T83*Özet!$C$14+U83*Özet!$C$15+V83*Özet!$C$16+W83*Özet!$C$17+X83*Özet!$C$18+Y83*Özet!$C$19)/5,4)</f>
        <v>0.585</v>
      </c>
      <c r="AA83" s="27" t="n">
        <f aca="false">RANK(AE83,$AE$5:$AE$126)+COUNTIF($AE$5:AE83,AE83)-1</f>
        <v>79</v>
      </c>
      <c r="AB83" s="28" t="str">
        <f aca="false">IF(AND(OR(G83="EN",G83="EN (+DE artı)"),Z83&gt;=0.7),"A – Hemen başvur (İngilizce)",IF(Z83&gt;=0.7,"B – Başvur (Almanca gerekli)",IF(AND(OR(G83="EN",G83="EN (+DE artı)"),Z83&gt;=0.6),"B – Başvur (İngilizce)","C – Opsiyonel")))</f>
        <v>C – Opsiyonel</v>
      </c>
      <c r="AC83" s="22" t="s">
        <v>445</v>
      </c>
      <c r="AD83" s="24" t="s">
        <v>823</v>
      </c>
      <c r="AE83" s="29" t="n">
        <f aca="false">Z83+IF(OR(G83="EN",G83="EN (+DE artı)"),1,0)</f>
        <v>0.585</v>
      </c>
    </row>
    <row r="84" customFormat="false" ht="75" hidden="false" customHeight="true" outlineLevel="0" collapsed="false">
      <c r="A84" s="22" t="n">
        <v>80</v>
      </c>
      <c r="B84" s="22" t="s">
        <v>612</v>
      </c>
      <c r="C84" s="22" t="s">
        <v>824</v>
      </c>
      <c r="D84" s="22" t="s">
        <v>825</v>
      </c>
      <c r="E84" s="22" t="s">
        <v>116</v>
      </c>
      <c r="F84" s="22" t="s">
        <v>682</v>
      </c>
      <c r="G84" s="22" t="s">
        <v>52</v>
      </c>
      <c r="H84" s="22" t="s">
        <v>826</v>
      </c>
      <c r="I84" s="22" t="s">
        <v>119</v>
      </c>
      <c r="J84" s="22" t="s">
        <v>120</v>
      </c>
      <c r="K84" s="22" t="s">
        <v>616</v>
      </c>
      <c r="L84" s="22" t="s">
        <v>339</v>
      </c>
      <c r="M84" s="22" t="s">
        <v>138</v>
      </c>
      <c r="N84" s="23" t="s">
        <v>827</v>
      </c>
      <c r="O84" s="22" t="s">
        <v>149</v>
      </c>
      <c r="P84" s="24" t="s">
        <v>828</v>
      </c>
      <c r="Q84" s="22" t="s">
        <v>829</v>
      </c>
      <c r="R84" s="22" t="s">
        <v>830</v>
      </c>
      <c r="S84" s="22" t="s">
        <v>831</v>
      </c>
      <c r="T84" s="25" t="n">
        <v>2.5</v>
      </c>
      <c r="U84" s="25" t="n">
        <v>4.5</v>
      </c>
      <c r="V84" s="25" t="n">
        <v>1</v>
      </c>
      <c r="W84" s="25" t="n">
        <v>4</v>
      </c>
      <c r="X84" s="25" t="n">
        <v>5</v>
      </c>
      <c r="Y84" s="25" t="n">
        <v>5</v>
      </c>
      <c r="Z84" s="26" t="n">
        <f aca="false">ROUND((T84*Özet!$C$14+U84*Özet!$C$15+V84*Özet!$C$16+W84*Özet!$C$17+X84*Özet!$C$18+Y84*Özet!$C$19)/5,4)</f>
        <v>0.585</v>
      </c>
      <c r="AA84" s="27" t="n">
        <f aca="false">RANK(AE84,$AE$5:$AE$126)+COUNTIF($AE$5:AE84,AE84)-1</f>
        <v>80</v>
      </c>
      <c r="AB84" s="28" t="str">
        <f aca="false">IF(AND(OR(G84="EN",G84="EN (+DE artı)"),Z84&gt;=0.7),"A – Hemen başvur (İngilizce)",IF(Z84&gt;=0.7,"B – Başvur (Almanca gerekli)",IF(AND(OR(G84="EN",G84="EN (+DE artı)"),Z84&gt;=0.6),"B – Başvur (İngilizce)","C – Opsiyonel")))</f>
        <v>C – Opsiyonel</v>
      </c>
      <c r="AC84" s="22" t="s">
        <v>356</v>
      </c>
      <c r="AD84" s="24" t="s">
        <v>622</v>
      </c>
      <c r="AE84" s="29" t="n">
        <f aca="false">Z84+IF(OR(G84="EN",G84="EN (+DE artı)"),1,0)</f>
        <v>0.585</v>
      </c>
    </row>
    <row r="85" customFormat="false" ht="75" hidden="false" customHeight="true" outlineLevel="0" collapsed="false">
      <c r="A85" s="22" t="n">
        <v>81</v>
      </c>
      <c r="B85" s="22" t="s">
        <v>284</v>
      </c>
      <c r="C85" s="22" t="s">
        <v>832</v>
      </c>
      <c r="D85" s="22" t="s">
        <v>833</v>
      </c>
      <c r="E85" s="22" t="s">
        <v>116</v>
      </c>
      <c r="F85" s="22" t="s">
        <v>210</v>
      </c>
      <c r="G85" s="22" t="s">
        <v>52</v>
      </c>
      <c r="H85" s="22" t="s">
        <v>834</v>
      </c>
      <c r="I85" s="22" t="s">
        <v>119</v>
      </c>
      <c r="J85" s="22" t="s">
        <v>212</v>
      </c>
      <c r="K85" s="22" t="s">
        <v>835</v>
      </c>
      <c r="L85" s="22" t="s">
        <v>339</v>
      </c>
      <c r="M85" s="22" t="s">
        <v>138</v>
      </c>
      <c r="N85" s="23" t="s">
        <v>836</v>
      </c>
      <c r="O85" s="22" t="s">
        <v>149</v>
      </c>
      <c r="P85" s="24" t="s">
        <v>837</v>
      </c>
      <c r="Q85" s="22" t="s">
        <v>838</v>
      </c>
      <c r="R85" s="22" t="s">
        <v>677</v>
      </c>
      <c r="S85" s="22" t="s">
        <v>331</v>
      </c>
      <c r="T85" s="25" t="n">
        <v>4</v>
      </c>
      <c r="U85" s="25" t="n">
        <v>3</v>
      </c>
      <c r="V85" s="25" t="n">
        <v>1</v>
      </c>
      <c r="W85" s="25" t="n">
        <v>3.5</v>
      </c>
      <c r="X85" s="25" t="n">
        <v>5</v>
      </c>
      <c r="Y85" s="25" t="n">
        <v>3</v>
      </c>
      <c r="Z85" s="26" t="n">
        <f aca="false">ROUND((T85*Özet!$C$14+U85*Özet!$C$15+V85*Özet!$C$16+W85*Özet!$C$17+X85*Özet!$C$18+Y85*Özet!$C$19)/5,4)</f>
        <v>0.585</v>
      </c>
      <c r="AA85" s="27" t="n">
        <f aca="false">RANK(AE85,$AE$5:$AE$126)+COUNTIF($AE$5:AE85,AE85)-1</f>
        <v>81</v>
      </c>
      <c r="AB85" s="28" t="str">
        <f aca="false">IF(AND(OR(G85="EN",G85="EN (+DE artı)"),Z85&gt;=0.7),"A – Hemen başvur (İngilizce)",IF(Z85&gt;=0.7,"B – Başvur (Almanca gerekli)",IF(AND(OR(G85="EN",G85="EN (+DE artı)"),Z85&gt;=0.6),"B – Başvur (İngilizce)","C – Opsiyonel")))</f>
        <v>C – Opsiyonel</v>
      </c>
      <c r="AC85" s="22" t="s">
        <v>839</v>
      </c>
      <c r="AD85" s="24" t="s">
        <v>294</v>
      </c>
      <c r="AE85" s="29" t="n">
        <f aca="false">Z85+IF(OR(G85="EN",G85="EN (+DE artı)"),1,0)</f>
        <v>0.585</v>
      </c>
    </row>
    <row r="86" customFormat="false" ht="75" hidden="false" customHeight="true" outlineLevel="0" collapsed="false">
      <c r="A86" s="22" t="n">
        <v>82</v>
      </c>
      <c r="B86" s="22" t="s">
        <v>437</v>
      </c>
      <c r="C86" s="22" t="s">
        <v>840</v>
      </c>
      <c r="D86" s="22" t="s">
        <v>439</v>
      </c>
      <c r="E86" s="22" t="s">
        <v>116</v>
      </c>
      <c r="F86" s="22" t="s">
        <v>210</v>
      </c>
      <c r="G86" s="22" t="s">
        <v>52</v>
      </c>
      <c r="H86" s="22" t="s">
        <v>841</v>
      </c>
      <c r="I86" s="22" t="s">
        <v>119</v>
      </c>
      <c r="J86" s="22" t="s">
        <v>212</v>
      </c>
      <c r="K86" s="22" t="s">
        <v>136</v>
      </c>
      <c r="L86" s="22" t="s">
        <v>182</v>
      </c>
      <c r="M86" s="22" t="s">
        <v>183</v>
      </c>
      <c r="N86" s="23" t="s">
        <v>842</v>
      </c>
      <c r="O86" s="22" t="s">
        <v>125</v>
      </c>
      <c r="P86" s="22"/>
      <c r="Q86" s="22" t="s">
        <v>843</v>
      </c>
      <c r="R86" s="22" t="s">
        <v>844</v>
      </c>
      <c r="S86" s="22" t="s">
        <v>331</v>
      </c>
      <c r="T86" s="25" t="n">
        <v>4</v>
      </c>
      <c r="U86" s="25" t="n">
        <v>3</v>
      </c>
      <c r="V86" s="25" t="n">
        <v>1</v>
      </c>
      <c r="W86" s="25" t="n">
        <v>3.5</v>
      </c>
      <c r="X86" s="25" t="n">
        <v>5</v>
      </c>
      <c r="Y86" s="25" t="n">
        <v>3</v>
      </c>
      <c r="Z86" s="26" t="n">
        <f aca="false">ROUND((T86*Özet!$C$14+U86*Özet!$C$15+V86*Özet!$C$16+W86*Özet!$C$17+X86*Özet!$C$18+Y86*Özet!$C$19)/5,4)</f>
        <v>0.585</v>
      </c>
      <c r="AA86" s="27" t="n">
        <f aca="false">RANK(AE86,$AE$5:$AE$126)+COUNTIF($AE$5:AE86,AE86)-1</f>
        <v>82</v>
      </c>
      <c r="AB86" s="28" t="str">
        <f aca="false">IF(AND(OR(G86="EN",G86="EN (+DE artı)"),Z86&gt;=0.7),"A – Hemen başvur (İngilizce)",IF(Z86&gt;=0.7,"B – Başvur (Almanca gerekli)",IF(AND(OR(G86="EN",G86="EN (+DE artı)"),Z86&gt;=0.6),"B – Başvur (İngilizce)","C – Opsiyonel")))</f>
        <v>C – Opsiyonel</v>
      </c>
      <c r="AC86" s="22" t="s">
        <v>445</v>
      </c>
      <c r="AD86" s="24" t="s">
        <v>446</v>
      </c>
      <c r="AE86" s="29" t="n">
        <f aca="false">Z86+IF(OR(G86="EN",G86="EN (+DE artı)"),1,0)</f>
        <v>0.585</v>
      </c>
    </row>
    <row r="87" customFormat="false" ht="75" hidden="false" customHeight="true" outlineLevel="0" collapsed="false">
      <c r="A87" s="22" t="n">
        <v>83</v>
      </c>
      <c r="B87" s="22" t="s">
        <v>388</v>
      </c>
      <c r="C87" s="22" t="s">
        <v>845</v>
      </c>
      <c r="D87" s="22" t="s">
        <v>846</v>
      </c>
      <c r="E87" s="22" t="s">
        <v>200</v>
      </c>
      <c r="F87" s="22" t="s">
        <v>210</v>
      </c>
      <c r="G87" s="22" t="s">
        <v>44</v>
      </c>
      <c r="H87" s="22" t="s">
        <v>847</v>
      </c>
      <c r="I87" s="22" t="s">
        <v>119</v>
      </c>
      <c r="J87" s="22" t="s">
        <v>212</v>
      </c>
      <c r="K87" s="22" t="s">
        <v>539</v>
      </c>
      <c r="L87" s="22" t="s">
        <v>155</v>
      </c>
      <c r="M87" s="22" t="s">
        <v>138</v>
      </c>
      <c r="N87" s="23" t="s">
        <v>848</v>
      </c>
      <c r="O87" s="22" t="s">
        <v>125</v>
      </c>
      <c r="P87" s="22"/>
      <c r="Q87" s="22" t="s">
        <v>849</v>
      </c>
      <c r="R87" s="22" t="s">
        <v>850</v>
      </c>
      <c r="S87" s="22" t="s">
        <v>219</v>
      </c>
      <c r="T87" s="25" t="n">
        <v>4</v>
      </c>
      <c r="U87" s="25" t="n">
        <v>3</v>
      </c>
      <c r="V87" s="25" t="n">
        <v>2</v>
      </c>
      <c r="W87" s="25" t="n">
        <v>4</v>
      </c>
      <c r="X87" s="25" t="n">
        <v>2</v>
      </c>
      <c r="Y87" s="25" t="n">
        <v>2.5</v>
      </c>
      <c r="Z87" s="26" t="n">
        <f aca="false">ROUND((T87*Özet!$C$14+U87*Özet!$C$15+V87*Özet!$C$16+W87*Özet!$C$17+X87*Özet!$C$18+Y87*Özet!$C$19)/5,4)</f>
        <v>0.58</v>
      </c>
      <c r="AA87" s="27" t="n">
        <f aca="false">RANK(AE87,$AE$5:$AE$126)+COUNTIF($AE$5:AE87,AE87)-1</f>
        <v>83</v>
      </c>
      <c r="AB87" s="28" t="str">
        <f aca="false">IF(AND(OR(G87="EN",G87="EN (+DE artı)"),Z87&gt;=0.7),"A – Hemen başvur (İngilizce)",IF(Z87&gt;=0.7,"B – Başvur (Almanca gerekli)",IF(AND(OR(G87="EN",G87="EN (+DE artı)"),Z87&gt;=0.6),"B – Başvur (İngilizce)","C – Opsiyonel")))</f>
        <v>C – Opsiyonel</v>
      </c>
      <c r="AC87" s="22" t="s">
        <v>312</v>
      </c>
      <c r="AD87" s="24" t="s">
        <v>396</v>
      </c>
      <c r="AE87" s="29" t="n">
        <f aca="false">Z87+IF(OR(G87="EN",G87="EN (+DE artı)"),1,0)</f>
        <v>0.58</v>
      </c>
    </row>
    <row r="88" customFormat="false" ht="75" hidden="false" customHeight="true" outlineLevel="0" collapsed="false">
      <c r="A88" s="22" t="n">
        <v>84</v>
      </c>
      <c r="B88" s="22" t="s">
        <v>851</v>
      </c>
      <c r="C88" s="22" t="s">
        <v>852</v>
      </c>
      <c r="D88" s="22" t="s">
        <v>853</v>
      </c>
      <c r="E88" s="22" t="s">
        <v>381</v>
      </c>
      <c r="F88" s="22" t="s">
        <v>210</v>
      </c>
      <c r="G88" s="22" t="s">
        <v>44</v>
      </c>
      <c r="H88" s="22" t="s">
        <v>854</v>
      </c>
      <c r="I88" s="22" t="s">
        <v>119</v>
      </c>
      <c r="J88" s="22" t="s">
        <v>212</v>
      </c>
      <c r="K88" s="22" t="s">
        <v>259</v>
      </c>
      <c r="L88" s="22" t="s">
        <v>260</v>
      </c>
      <c r="M88" s="22" t="s">
        <v>183</v>
      </c>
      <c r="N88" s="23" t="s">
        <v>855</v>
      </c>
      <c r="O88" s="22" t="s">
        <v>125</v>
      </c>
      <c r="P88" s="22"/>
      <c r="Q88" s="22" t="s">
        <v>856</v>
      </c>
      <c r="R88" s="22" t="s">
        <v>857</v>
      </c>
      <c r="S88" s="22" t="s">
        <v>858</v>
      </c>
      <c r="T88" s="25" t="n">
        <v>3.5</v>
      </c>
      <c r="U88" s="25" t="n">
        <v>3</v>
      </c>
      <c r="V88" s="25" t="n">
        <v>2</v>
      </c>
      <c r="W88" s="25" t="n">
        <v>4</v>
      </c>
      <c r="X88" s="25" t="n">
        <v>3</v>
      </c>
      <c r="Y88" s="25" t="n">
        <v>3</v>
      </c>
      <c r="Z88" s="26" t="n">
        <f aca="false">ROUND((T88*Özet!$C$14+U88*Özet!$C$15+V88*Özet!$C$16+W88*Özet!$C$17+X88*Özet!$C$18+Y88*Özet!$C$19)/5,4)</f>
        <v>0.58</v>
      </c>
      <c r="AA88" s="27" t="n">
        <f aca="false">RANK(AE88,$AE$5:$AE$126)+COUNTIF($AE$5:AE88,AE88)-1</f>
        <v>84</v>
      </c>
      <c r="AB88" s="28" t="str">
        <f aca="false">IF(AND(OR(G88="EN",G88="EN (+DE artı)"),Z88&gt;=0.7),"A – Hemen başvur (İngilizce)",IF(Z88&gt;=0.7,"B – Başvur (Almanca gerekli)",IF(AND(OR(G88="EN",G88="EN (+DE artı)"),Z88&gt;=0.6),"B – Başvur (İngilizce)","C – Opsiyonel")))</f>
        <v>C – Opsiyonel</v>
      </c>
      <c r="AC88" s="22" t="s">
        <v>312</v>
      </c>
      <c r="AD88" s="24" t="s">
        <v>859</v>
      </c>
      <c r="AE88" s="29" t="n">
        <f aca="false">Z88+IF(OR(G88="EN",G88="EN (+DE artı)"),1,0)</f>
        <v>0.58</v>
      </c>
    </row>
    <row r="89" customFormat="false" ht="75" hidden="false" customHeight="true" outlineLevel="0" collapsed="false">
      <c r="A89" s="22" t="n">
        <v>85</v>
      </c>
      <c r="B89" s="22" t="s">
        <v>860</v>
      </c>
      <c r="C89" s="22" t="s">
        <v>861</v>
      </c>
      <c r="D89" s="22" t="s">
        <v>297</v>
      </c>
      <c r="E89" s="22" t="s">
        <v>116</v>
      </c>
      <c r="F89" s="22" t="s">
        <v>682</v>
      </c>
      <c r="G89" s="22" t="s">
        <v>52</v>
      </c>
      <c r="H89" s="22" t="s">
        <v>862</v>
      </c>
      <c r="I89" s="22" t="s">
        <v>119</v>
      </c>
      <c r="J89" s="22" t="s">
        <v>120</v>
      </c>
      <c r="K89" s="22" t="s">
        <v>779</v>
      </c>
      <c r="L89" s="22" t="s">
        <v>182</v>
      </c>
      <c r="M89" s="22" t="s">
        <v>138</v>
      </c>
      <c r="N89" s="23" t="s">
        <v>863</v>
      </c>
      <c r="O89" s="22" t="s">
        <v>125</v>
      </c>
      <c r="P89" s="22"/>
      <c r="Q89" s="22" t="s">
        <v>864</v>
      </c>
      <c r="R89" s="22" t="s">
        <v>865</v>
      </c>
      <c r="S89" s="22" t="s">
        <v>761</v>
      </c>
      <c r="T89" s="25" t="n">
        <v>3</v>
      </c>
      <c r="U89" s="25" t="n">
        <v>4.5</v>
      </c>
      <c r="V89" s="25" t="n">
        <v>1</v>
      </c>
      <c r="W89" s="25" t="n">
        <v>3.5</v>
      </c>
      <c r="X89" s="25" t="n">
        <v>5</v>
      </c>
      <c r="Y89" s="25" t="n">
        <v>3.5</v>
      </c>
      <c r="Z89" s="26" t="n">
        <f aca="false">ROUND((T89*Özet!$C$14+U89*Özet!$C$15+V89*Özet!$C$16+W89*Özet!$C$17+X89*Özet!$C$18+Y89*Özet!$C$19)/5,4)</f>
        <v>0.58</v>
      </c>
      <c r="AA89" s="27" t="n">
        <f aca="false">RANK(AE89,$AE$5:$AE$126)+COUNTIF($AE$5:AE89,AE89)-1</f>
        <v>85</v>
      </c>
      <c r="AB89" s="28" t="str">
        <f aca="false">IF(AND(OR(G89="EN",G89="EN (+DE artı)"),Z89&gt;=0.7),"A – Hemen başvur (İngilizce)",IF(Z89&gt;=0.7,"B – Başvur (Almanca gerekli)",IF(AND(OR(G89="EN",G89="EN (+DE artı)"),Z89&gt;=0.6),"B – Başvur (İngilizce)","C – Opsiyonel")))</f>
        <v>C – Opsiyonel</v>
      </c>
      <c r="AC89" s="22" t="s">
        <v>356</v>
      </c>
      <c r="AD89" s="24" t="s">
        <v>866</v>
      </c>
      <c r="AE89" s="29" t="n">
        <f aca="false">Z89+IF(OR(G89="EN",G89="EN (+DE artı)"),1,0)</f>
        <v>0.58</v>
      </c>
    </row>
    <row r="90" customFormat="false" ht="75" hidden="false" customHeight="true" outlineLevel="0" collapsed="false">
      <c r="A90" s="22" t="n">
        <v>86</v>
      </c>
      <c r="B90" s="22" t="s">
        <v>526</v>
      </c>
      <c r="C90" s="22" t="s">
        <v>867</v>
      </c>
      <c r="D90" s="22" t="s">
        <v>868</v>
      </c>
      <c r="E90" s="22" t="s">
        <v>116</v>
      </c>
      <c r="F90" s="22" t="s">
        <v>162</v>
      </c>
      <c r="G90" s="22" t="s">
        <v>52</v>
      </c>
      <c r="H90" s="22" t="s">
        <v>869</v>
      </c>
      <c r="I90" s="22" t="s">
        <v>119</v>
      </c>
      <c r="J90" s="22" t="s">
        <v>120</v>
      </c>
      <c r="K90" s="22" t="s">
        <v>530</v>
      </c>
      <c r="L90" s="22" t="s">
        <v>147</v>
      </c>
      <c r="M90" s="22" t="s">
        <v>138</v>
      </c>
      <c r="N90" s="23" t="s">
        <v>870</v>
      </c>
      <c r="O90" s="22" t="s">
        <v>125</v>
      </c>
      <c r="P90" s="22"/>
      <c r="Q90" s="22" t="s">
        <v>871</v>
      </c>
      <c r="R90" s="22" t="s">
        <v>872</v>
      </c>
      <c r="S90" s="22" t="s">
        <v>873</v>
      </c>
      <c r="T90" s="25" t="n">
        <v>2.5</v>
      </c>
      <c r="U90" s="25" t="n">
        <v>5</v>
      </c>
      <c r="V90" s="25" t="n">
        <v>1</v>
      </c>
      <c r="W90" s="25" t="n">
        <v>4</v>
      </c>
      <c r="X90" s="25" t="n">
        <v>5</v>
      </c>
      <c r="Y90" s="25" t="n">
        <v>4</v>
      </c>
      <c r="Z90" s="26" t="n">
        <f aca="false">ROUND((T90*Özet!$C$14+U90*Özet!$C$15+V90*Özet!$C$16+W90*Özet!$C$17+X90*Özet!$C$18+Y90*Özet!$C$19)/5,4)</f>
        <v>0.58</v>
      </c>
      <c r="AA90" s="27" t="n">
        <f aca="false">RANK(AE90,$AE$5:$AE$126)+COUNTIF($AE$5:AE90,AE90)-1</f>
        <v>86</v>
      </c>
      <c r="AB90" s="28" t="str">
        <f aca="false">IF(AND(OR(G90="EN",G90="EN (+DE artı)"),Z90&gt;=0.7),"A – Hemen başvur (İngilizce)",IF(Z90&gt;=0.7,"B – Başvur (Almanca gerekli)",IF(AND(OR(G90="EN",G90="EN (+DE artı)"),Z90&gt;=0.6),"B – Başvur (İngilizce)","C – Opsiyonel")))</f>
        <v>C – Opsiyonel</v>
      </c>
      <c r="AC90" s="22" t="s">
        <v>356</v>
      </c>
      <c r="AD90" s="24" t="s">
        <v>535</v>
      </c>
      <c r="AE90" s="29" t="n">
        <f aca="false">Z90+IF(OR(G90="EN",G90="EN (+DE artı)"),1,0)</f>
        <v>0.58</v>
      </c>
    </row>
    <row r="91" customFormat="false" ht="75" hidden="false" customHeight="true" outlineLevel="0" collapsed="false">
      <c r="A91" s="22" t="n">
        <v>87</v>
      </c>
      <c r="B91" s="22" t="s">
        <v>874</v>
      </c>
      <c r="C91" s="22" t="s">
        <v>875</v>
      </c>
      <c r="D91" s="22" t="s">
        <v>876</v>
      </c>
      <c r="E91" s="22" t="s">
        <v>200</v>
      </c>
      <c r="F91" s="22" t="s">
        <v>223</v>
      </c>
      <c r="G91" s="22" t="s">
        <v>52</v>
      </c>
      <c r="H91" s="22" t="s">
        <v>877</v>
      </c>
      <c r="I91" s="22" t="s">
        <v>119</v>
      </c>
      <c r="J91" s="22" t="s">
        <v>232</v>
      </c>
      <c r="K91" s="22" t="s">
        <v>878</v>
      </c>
      <c r="L91" s="22" t="s">
        <v>260</v>
      </c>
      <c r="M91" s="22" t="s">
        <v>138</v>
      </c>
      <c r="N91" s="23" t="s">
        <v>879</v>
      </c>
      <c r="O91" s="22" t="s">
        <v>125</v>
      </c>
      <c r="P91" s="24" t="s">
        <v>880</v>
      </c>
      <c r="Q91" s="22" t="s">
        <v>881</v>
      </c>
      <c r="R91" s="22" t="s">
        <v>882</v>
      </c>
      <c r="S91" s="22" t="s">
        <v>883</v>
      </c>
      <c r="T91" s="25" t="n">
        <v>4</v>
      </c>
      <c r="U91" s="25" t="n">
        <v>4</v>
      </c>
      <c r="V91" s="25" t="n">
        <v>1</v>
      </c>
      <c r="W91" s="25" t="n">
        <v>4</v>
      </c>
      <c r="X91" s="25" t="n">
        <v>2</v>
      </c>
      <c r="Y91" s="25" t="n">
        <v>4</v>
      </c>
      <c r="Z91" s="26" t="n">
        <f aca="false">ROUND((T91*Özet!$C$14+U91*Özet!$C$15+V91*Özet!$C$16+W91*Özet!$C$17+X91*Özet!$C$18+Y91*Özet!$C$19)/5,4)</f>
        <v>0.58</v>
      </c>
      <c r="AA91" s="27" t="n">
        <f aca="false">RANK(AE91,$AE$5:$AE$126)+COUNTIF($AE$5:AE91,AE91)-1</f>
        <v>87</v>
      </c>
      <c r="AB91" s="28" t="str">
        <f aca="false">IF(AND(OR(G91="EN",G91="EN (+DE artı)"),Z91&gt;=0.7),"A – Hemen başvur (İngilizce)",IF(Z91&gt;=0.7,"B – Başvur (Almanca gerekli)",IF(AND(OR(G91="EN",G91="EN (+DE artı)"),Z91&gt;=0.6),"B – Başvur (İngilizce)","C – Opsiyonel")))</f>
        <v>C – Opsiyonel</v>
      </c>
      <c r="AC91" s="22" t="s">
        <v>356</v>
      </c>
      <c r="AD91" s="24" t="s">
        <v>884</v>
      </c>
      <c r="AE91" s="29" t="n">
        <f aca="false">Z91+IF(OR(G91="EN",G91="EN (+DE artı)"),1,0)</f>
        <v>0.58</v>
      </c>
    </row>
    <row r="92" customFormat="false" ht="75" hidden="false" customHeight="true" outlineLevel="0" collapsed="false">
      <c r="A92" s="22" t="n">
        <v>88</v>
      </c>
      <c r="B92" s="22" t="s">
        <v>885</v>
      </c>
      <c r="C92" s="22" t="s">
        <v>886</v>
      </c>
      <c r="D92" s="22" t="s">
        <v>390</v>
      </c>
      <c r="E92" s="22" t="s">
        <v>116</v>
      </c>
      <c r="F92" s="22" t="s">
        <v>223</v>
      </c>
      <c r="G92" s="22" t="s">
        <v>52</v>
      </c>
      <c r="H92" s="22" t="s">
        <v>887</v>
      </c>
      <c r="I92" s="22" t="s">
        <v>119</v>
      </c>
      <c r="J92" s="22" t="s">
        <v>232</v>
      </c>
      <c r="K92" s="22" t="s">
        <v>449</v>
      </c>
      <c r="L92" s="22" t="s">
        <v>122</v>
      </c>
      <c r="M92" s="22" t="s">
        <v>138</v>
      </c>
      <c r="N92" s="23" t="s">
        <v>888</v>
      </c>
      <c r="O92" s="22" t="s">
        <v>149</v>
      </c>
      <c r="P92" s="22"/>
      <c r="Q92" s="22" t="s">
        <v>889</v>
      </c>
      <c r="R92" s="22" t="s">
        <v>890</v>
      </c>
      <c r="S92" s="22" t="s">
        <v>891</v>
      </c>
      <c r="T92" s="25" t="n">
        <v>3</v>
      </c>
      <c r="U92" s="25" t="n">
        <v>4</v>
      </c>
      <c r="V92" s="25" t="n">
        <v>1</v>
      </c>
      <c r="W92" s="25" t="n">
        <v>3.5</v>
      </c>
      <c r="X92" s="25" t="n">
        <v>5</v>
      </c>
      <c r="Y92" s="25" t="n">
        <v>4</v>
      </c>
      <c r="Z92" s="26" t="n">
        <f aca="false">ROUND((T92*Özet!$C$14+U92*Özet!$C$15+V92*Özet!$C$16+W92*Özet!$C$17+X92*Özet!$C$18+Y92*Özet!$C$19)/5,4)</f>
        <v>0.575</v>
      </c>
      <c r="AA92" s="27" t="n">
        <f aca="false">RANK(AE92,$AE$5:$AE$126)+COUNTIF($AE$5:AE92,AE92)-1</f>
        <v>88</v>
      </c>
      <c r="AB92" s="28" t="str">
        <f aca="false">IF(AND(OR(G92="EN",G92="EN (+DE artı)"),Z92&gt;=0.7),"A – Hemen başvur (İngilizce)",IF(Z92&gt;=0.7,"B – Başvur (Almanca gerekli)",IF(AND(OR(G92="EN",G92="EN (+DE artı)"),Z92&gt;=0.6),"B – Başvur (İngilizce)","C – Opsiyonel")))</f>
        <v>C – Opsiyonel</v>
      </c>
      <c r="AC92" s="22" t="s">
        <v>356</v>
      </c>
      <c r="AD92" s="24" t="s">
        <v>892</v>
      </c>
      <c r="AE92" s="29" t="n">
        <f aca="false">Z92+IF(OR(G92="EN",G92="EN (+DE artı)"),1,0)</f>
        <v>0.575</v>
      </c>
    </row>
    <row r="93" customFormat="false" ht="75" hidden="false" customHeight="true" outlineLevel="0" collapsed="false">
      <c r="A93" s="22" t="n">
        <v>89</v>
      </c>
      <c r="B93" s="22" t="s">
        <v>689</v>
      </c>
      <c r="C93" s="22" t="s">
        <v>893</v>
      </c>
      <c r="D93" s="22" t="s">
        <v>390</v>
      </c>
      <c r="E93" s="22" t="s">
        <v>116</v>
      </c>
      <c r="F93" s="22" t="s">
        <v>248</v>
      </c>
      <c r="G93" s="22" t="s">
        <v>50</v>
      </c>
      <c r="H93" s="22" t="s">
        <v>277</v>
      </c>
      <c r="I93" s="22" t="s">
        <v>119</v>
      </c>
      <c r="J93" s="22" t="s">
        <v>232</v>
      </c>
      <c r="K93" s="22" t="s">
        <v>692</v>
      </c>
      <c r="L93" s="22" t="s">
        <v>260</v>
      </c>
      <c r="M93" s="22" t="s">
        <v>138</v>
      </c>
      <c r="N93" s="23" t="s">
        <v>894</v>
      </c>
      <c r="O93" s="22" t="s">
        <v>125</v>
      </c>
      <c r="P93" s="22"/>
      <c r="Q93" s="22" t="s">
        <v>895</v>
      </c>
      <c r="R93" s="22" t="s">
        <v>896</v>
      </c>
      <c r="S93" s="22" t="s">
        <v>897</v>
      </c>
      <c r="T93" s="25" t="n">
        <v>2.5</v>
      </c>
      <c r="U93" s="25" t="n">
        <v>4</v>
      </c>
      <c r="V93" s="25" t="n">
        <v>1.5</v>
      </c>
      <c r="W93" s="25" t="n">
        <v>3.5</v>
      </c>
      <c r="X93" s="25" t="n">
        <v>5</v>
      </c>
      <c r="Y93" s="25" t="n">
        <v>4</v>
      </c>
      <c r="Z93" s="26" t="n">
        <f aca="false">ROUND((T93*Özet!$C$14+U93*Özet!$C$15+V93*Özet!$C$16+W93*Özet!$C$17+X93*Özet!$C$18+Y93*Özet!$C$19)/5,4)</f>
        <v>0.575</v>
      </c>
      <c r="AA93" s="27" t="n">
        <f aca="false">RANK(AE93,$AE$5:$AE$126)+COUNTIF($AE$5:AE93,AE93)-1</f>
        <v>89</v>
      </c>
      <c r="AB93" s="28" t="str">
        <f aca="false">IF(AND(OR(G93="EN",G93="EN (+DE artı)"),Z93&gt;=0.7),"A – Hemen başvur (İngilizce)",IF(Z93&gt;=0.7,"B – Başvur (Almanca gerekli)",IF(AND(OR(G93="EN",G93="EN (+DE artı)"),Z93&gt;=0.6),"B – Başvur (İngilizce)","C – Opsiyonel")))</f>
        <v>C – Opsiyonel</v>
      </c>
      <c r="AC93" s="22" t="s">
        <v>302</v>
      </c>
      <c r="AD93" s="24" t="s">
        <v>697</v>
      </c>
      <c r="AE93" s="29" t="n">
        <f aca="false">Z93+IF(OR(G93="EN",G93="EN (+DE artı)"),1,0)</f>
        <v>0.575</v>
      </c>
    </row>
    <row r="94" customFormat="false" ht="75" hidden="false" customHeight="true" outlineLevel="0" collapsed="false">
      <c r="A94" s="22" t="n">
        <v>90</v>
      </c>
      <c r="B94" s="22" t="s">
        <v>898</v>
      </c>
      <c r="C94" s="22" t="s">
        <v>899</v>
      </c>
      <c r="D94" s="22" t="s">
        <v>258</v>
      </c>
      <c r="E94" s="22" t="s">
        <v>116</v>
      </c>
      <c r="F94" s="22" t="s">
        <v>682</v>
      </c>
      <c r="G94" s="22" t="s">
        <v>50</v>
      </c>
      <c r="H94" s="22" t="s">
        <v>277</v>
      </c>
      <c r="I94" s="22" t="s">
        <v>119</v>
      </c>
      <c r="J94" s="22" t="s">
        <v>120</v>
      </c>
      <c r="K94" s="22" t="s">
        <v>338</v>
      </c>
      <c r="L94" s="22" t="s">
        <v>147</v>
      </c>
      <c r="M94" s="22" t="s">
        <v>183</v>
      </c>
      <c r="N94" s="23" t="s">
        <v>900</v>
      </c>
      <c r="O94" s="22" t="s">
        <v>125</v>
      </c>
      <c r="P94" s="22"/>
      <c r="Q94" s="22" t="s">
        <v>901</v>
      </c>
      <c r="R94" s="22" t="s">
        <v>902</v>
      </c>
      <c r="S94" s="22" t="s">
        <v>903</v>
      </c>
      <c r="T94" s="25" t="n">
        <v>2</v>
      </c>
      <c r="U94" s="25" t="n">
        <v>4.5</v>
      </c>
      <c r="V94" s="25" t="n">
        <v>1.5</v>
      </c>
      <c r="W94" s="25" t="n">
        <v>4</v>
      </c>
      <c r="X94" s="25" t="n">
        <v>5</v>
      </c>
      <c r="Y94" s="25" t="n">
        <v>4.5</v>
      </c>
      <c r="Z94" s="26" t="n">
        <f aca="false">ROUND((T94*Özet!$C$14+U94*Özet!$C$15+V94*Özet!$C$16+W94*Özet!$C$17+X94*Özet!$C$18+Y94*Özet!$C$19)/5,4)</f>
        <v>0.575</v>
      </c>
      <c r="AA94" s="27" t="n">
        <f aca="false">RANK(AE94,$AE$5:$AE$126)+COUNTIF($AE$5:AE94,AE94)-1</f>
        <v>90</v>
      </c>
      <c r="AB94" s="28" t="str">
        <f aca="false">IF(AND(OR(G94="EN",G94="EN (+DE artı)"),Z94&gt;=0.7),"A – Hemen başvur (İngilizce)",IF(Z94&gt;=0.7,"B – Başvur (Almanca gerekli)",IF(AND(OR(G94="EN",G94="EN (+DE artı)"),Z94&gt;=0.6),"B – Başvur (İngilizce)","C – Opsiyonel")))</f>
        <v>C – Opsiyonel</v>
      </c>
      <c r="AC94" s="22" t="s">
        <v>904</v>
      </c>
      <c r="AD94" s="24" t="s">
        <v>905</v>
      </c>
      <c r="AE94" s="29" t="n">
        <f aca="false">Z94+IF(OR(G94="EN",G94="EN (+DE artı)"),1,0)</f>
        <v>0.575</v>
      </c>
    </row>
    <row r="95" customFormat="false" ht="75" hidden="false" customHeight="true" outlineLevel="0" collapsed="false">
      <c r="A95" s="22" t="n">
        <v>91</v>
      </c>
      <c r="B95" s="22" t="s">
        <v>314</v>
      </c>
      <c r="C95" s="22" t="s">
        <v>906</v>
      </c>
      <c r="D95" s="22" t="s">
        <v>316</v>
      </c>
      <c r="E95" s="22" t="s">
        <v>116</v>
      </c>
      <c r="F95" s="22" t="s">
        <v>248</v>
      </c>
      <c r="G95" s="22" t="s">
        <v>50</v>
      </c>
      <c r="H95" s="22" t="s">
        <v>277</v>
      </c>
      <c r="I95" s="22" t="s">
        <v>119</v>
      </c>
      <c r="J95" s="22" t="s">
        <v>232</v>
      </c>
      <c r="K95" s="22" t="s">
        <v>907</v>
      </c>
      <c r="L95" s="22" t="s">
        <v>155</v>
      </c>
      <c r="M95" s="22" t="s">
        <v>138</v>
      </c>
      <c r="N95" s="23" t="s">
        <v>908</v>
      </c>
      <c r="O95" s="22" t="s">
        <v>149</v>
      </c>
      <c r="P95" s="22"/>
      <c r="Q95" s="22" t="s">
        <v>909</v>
      </c>
      <c r="R95" s="22" t="s">
        <v>910</v>
      </c>
      <c r="S95" s="22" t="s">
        <v>911</v>
      </c>
      <c r="T95" s="25" t="n">
        <v>2.5</v>
      </c>
      <c r="U95" s="25" t="n">
        <v>4</v>
      </c>
      <c r="V95" s="25" t="n">
        <v>1.5</v>
      </c>
      <c r="W95" s="25" t="n">
        <v>4</v>
      </c>
      <c r="X95" s="25" t="n">
        <v>5</v>
      </c>
      <c r="Y95" s="25" t="n">
        <v>3.5</v>
      </c>
      <c r="Z95" s="26" t="n">
        <f aca="false">ROUND((T95*Özet!$C$14+U95*Özet!$C$15+V95*Özet!$C$16+W95*Özet!$C$17+X95*Özet!$C$18+Y95*Özet!$C$19)/5,4)</f>
        <v>0.57</v>
      </c>
      <c r="AA95" s="27" t="n">
        <f aca="false">RANK(AE95,$AE$5:$AE$126)+COUNTIF($AE$5:AE95,AE95)-1</f>
        <v>91</v>
      </c>
      <c r="AB95" s="28" t="str">
        <f aca="false">IF(AND(OR(G95="EN",G95="EN (+DE artı)"),Z95&gt;=0.7),"A – Hemen başvur (İngilizce)",IF(Z95&gt;=0.7,"B – Başvur (Almanca gerekli)",IF(AND(OR(G95="EN",G95="EN (+DE artı)"),Z95&gt;=0.6),"B – Başvur (İngilizce)","C – Opsiyonel")))</f>
        <v>C – Opsiyonel</v>
      </c>
      <c r="AC95" s="22" t="s">
        <v>302</v>
      </c>
      <c r="AD95" s="24" t="s">
        <v>323</v>
      </c>
      <c r="AE95" s="29" t="n">
        <f aca="false">Z95+IF(OR(G95="EN",G95="EN (+DE artı)"),1,0)</f>
        <v>0.57</v>
      </c>
    </row>
    <row r="96" customFormat="false" ht="75" hidden="false" customHeight="true" outlineLevel="0" collapsed="false">
      <c r="A96" s="22" t="n">
        <v>92</v>
      </c>
      <c r="B96" s="22" t="s">
        <v>912</v>
      </c>
      <c r="C96" s="22" t="s">
        <v>913</v>
      </c>
      <c r="D96" s="22" t="s">
        <v>914</v>
      </c>
      <c r="E96" s="22" t="s">
        <v>200</v>
      </c>
      <c r="F96" s="22" t="s">
        <v>223</v>
      </c>
      <c r="G96" s="22" t="s">
        <v>44</v>
      </c>
      <c r="H96" s="22" t="s">
        <v>915</v>
      </c>
      <c r="I96" s="22" t="s">
        <v>119</v>
      </c>
      <c r="J96" s="22" t="s">
        <v>232</v>
      </c>
      <c r="K96" s="22" t="s">
        <v>916</v>
      </c>
      <c r="L96" s="22" t="s">
        <v>155</v>
      </c>
      <c r="M96" s="22" t="s">
        <v>138</v>
      </c>
      <c r="N96" s="23" t="s">
        <v>917</v>
      </c>
      <c r="O96" s="22" t="s">
        <v>125</v>
      </c>
      <c r="P96" s="22"/>
      <c r="Q96" s="22" t="s">
        <v>918</v>
      </c>
      <c r="R96" s="22" t="s">
        <v>919</v>
      </c>
      <c r="S96" s="22" t="s">
        <v>920</v>
      </c>
      <c r="T96" s="25" t="n">
        <v>3</v>
      </c>
      <c r="U96" s="25" t="n">
        <v>4</v>
      </c>
      <c r="V96" s="25" t="n">
        <v>2</v>
      </c>
      <c r="W96" s="25" t="n">
        <v>4</v>
      </c>
      <c r="X96" s="25" t="n">
        <v>2</v>
      </c>
      <c r="Y96" s="25" t="n">
        <v>3.5</v>
      </c>
      <c r="Z96" s="26" t="n">
        <f aca="false">ROUND((T96*Özet!$C$14+U96*Özet!$C$15+V96*Özet!$C$16+W96*Özet!$C$17+X96*Özet!$C$18+Y96*Özet!$C$19)/5,4)</f>
        <v>0.57</v>
      </c>
      <c r="AA96" s="27" t="n">
        <f aca="false">RANK(AE96,$AE$5:$AE$126)+COUNTIF($AE$5:AE96,AE96)-1</f>
        <v>92</v>
      </c>
      <c r="AB96" s="28" t="str">
        <f aca="false">IF(AND(OR(G96="EN",G96="EN (+DE artı)"),Z96&gt;=0.7),"A – Hemen başvur (İngilizce)",IF(Z96&gt;=0.7,"B – Başvur (Almanca gerekli)",IF(AND(OR(G96="EN",G96="EN (+DE artı)"),Z96&gt;=0.6),"B – Başvur (İngilizce)","C – Opsiyonel")))</f>
        <v>C – Opsiyonel</v>
      </c>
      <c r="AC96" s="22" t="s">
        <v>312</v>
      </c>
      <c r="AD96" s="24" t="s">
        <v>921</v>
      </c>
      <c r="AE96" s="29" t="n">
        <f aca="false">Z96+IF(OR(G96="EN",G96="EN (+DE artı)"),1,0)</f>
        <v>0.57</v>
      </c>
    </row>
    <row r="97" customFormat="false" ht="75" hidden="false" customHeight="true" outlineLevel="0" collapsed="false">
      <c r="A97" s="22" t="n">
        <v>93</v>
      </c>
      <c r="B97" s="22" t="s">
        <v>922</v>
      </c>
      <c r="C97" s="22" t="s">
        <v>923</v>
      </c>
      <c r="D97" s="22" t="s">
        <v>924</v>
      </c>
      <c r="E97" s="22" t="s">
        <v>116</v>
      </c>
      <c r="F97" s="22" t="s">
        <v>682</v>
      </c>
      <c r="G97" s="22" t="s">
        <v>52</v>
      </c>
      <c r="H97" s="22" t="s">
        <v>925</v>
      </c>
      <c r="I97" s="22" t="s">
        <v>119</v>
      </c>
      <c r="J97" s="22" t="s">
        <v>120</v>
      </c>
      <c r="K97" s="22" t="s">
        <v>926</v>
      </c>
      <c r="L97" s="22" t="s">
        <v>339</v>
      </c>
      <c r="M97" s="22" t="s">
        <v>138</v>
      </c>
      <c r="N97" s="23" t="s">
        <v>927</v>
      </c>
      <c r="O97" s="22" t="s">
        <v>125</v>
      </c>
      <c r="P97" s="22"/>
      <c r="Q97" s="22" t="s">
        <v>928</v>
      </c>
      <c r="R97" s="22" t="s">
        <v>929</v>
      </c>
      <c r="S97" s="22" t="s">
        <v>930</v>
      </c>
      <c r="T97" s="25" t="n">
        <v>3</v>
      </c>
      <c r="U97" s="25" t="n">
        <v>4.5</v>
      </c>
      <c r="V97" s="25" t="n">
        <v>1</v>
      </c>
      <c r="W97" s="25" t="n">
        <v>3.5</v>
      </c>
      <c r="X97" s="25" t="n">
        <v>5</v>
      </c>
      <c r="Y97" s="25" t="n">
        <v>3</v>
      </c>
      <c r="Z97" s="26" t="n">
        <f aca="false">ROUND((T97*Özet!$C$14+U97*Özet!$C$15+V97*Özet!$C$16+W97*Özet!$C$17+X97*Özet!$C$18+Y97*Özet!$C$19)/5,4)</f>
        <v>0.57</v>
      </c>
      <c r="AA97" s="27" t="n">
        <f aca="false">RANK(AE97,$AE$5:$AE$126)+COUNTIF($AE$5:AE97,AE97)-1</f>
        <v>93</v>
      </c>
      <c r="AB97" s="28" t="str">
        <f aca="false">IF(AND(OR(G97="EN",G97="EN (+DE artı)"),Z97&gt;=0.7),"A – Hemen başvur (İngilizce)",IF(Z97&gt;=0.7,"B – Başvur (Almanca gerekli)",IF(AND(OR(G97="EN",G97="EN (+DE artı)"),Z97&gt;=0.6),"B – Başvur (İngilizce)","C – Opsiyonel")))</f>
        <v>C – Opsiyonel</v>
      </c>
      <c r="AC97" s="22" t="s">
        <v>356</v>
      </c>
      <c r="AD97" s="24" t="s">
        <v>931</v>
      </c>
      <c r="AE97" s="29" t="n">
        <f aca="false">Z97+IF(OR(G97="EN",G97="EN (+DE artı)"),1,0)</f>
        <v>0.57</v>
      </c>
    </row>
    <row r="98" customFormat="false" ht="75" hidden="false" customHeight="true" outlineLevel="0" collapsed="false">
      <c r="A98" s="22" t="n">
        <v>94</v>
      </c>
      <c r="B98" s="22" t="s">
        <v>669</v>
      </c>
      <c r="C98" s="22" t="s">
        <v>932</v>
      </c>
      <c r="D98" s="22" t="s">
        <v>229</v>
      </c>
      <c r="E98" s="22" t="s">
        <v>230</v>
      </c>
      <c r="F98" s="22" t="s">
        <v>682</v>
      </c>
      <c r="G98" s="22" t="s">
        <v>50</v>
      </c>
      <c r="H98" s="22" t="s">
        <v>277</v>
      </c>
      <c r="I98" s="22" t="s">
        <v>119</v>
      </c>
      <c r="J98" s="22" t="s">
        <v>120</v>
      </c>
      <c r="K98" s="22" t="s">
        <v>458</v>
      </c>
      <c r="L98" s="22" t="s">
        <v>155</v>
      </c>
      <c r="M98" s="22" t="s">
        <v>138</v>
      </c>
      <c r="N98" s="23" t="s">
        <v>933</v>
      </c>
      <c r="O98" s="22" t="s">
        <v>149</v>
      </c>
      <c r="P98" s="22"/>
      <c r="Q98" s="22" t="s">
        <v>934</v>
      </c>
      <c r="R98" s="22" t="s">
        <v>935</v>
      </c>
      <c r="S98" s="22" t="s">
        <v>936</v>
      </c>
      <c r="T98" s="25" t="n">
        <v>2.5</v>
      </c>
      <c r="U98" s="25" t="n">
        <v>4.5</v>
      </c>
      <c r="V98" s="25" t="n">
        <v>1.5</v>
      </c>
      <c r="W98" s="25" t="n">
        <v>5</v>
      </c>
      <c r="X98" s="25" t="n">
        <v>4</v>
      </c>
      <c r="Y98" s="25" t="n">
        <v>3</v>
      </c>
      <c r="Z98" s="26" t="n">
        <f aca="false">ROUND((T98*Özet!$C$14+U98*Özet!$C$15+V98*Özet!$C$16+W98*Özet!$C$17+X98*Özet!$C$18+Y98*Özet!$C$19)/5,4)</f>
        <v>0.565</v>
      </c>
      <c r="AA98" s="27" t="n">
        <f aca="false">RANK(AE98,$AE$5:$AE$126)+COUNTIF($AE$5:AE98,AE98)-1</f>
        <v>94</v>
      </c>
      <c r="AB98" s="28" t="str">
        <f aca="false">IF(AND(OR(G98="EN",G98="EN (+DE artı)"),Z98&gt;=0.7),"A – Hemen başvur (İngilizce)",IF(Z98&gt;=0.7,"B – Başvur (Almanca gerekli)",IF(AND(OR(G98="EN",G98="EN (+DE artı)"),Z98&gt;=0.6),"B – Başvur (İngilizce)","C – Opsiyonel")))</f>
        <v>C – Opsiyonel</v>
      </c>
      <c r="AC98" s="22" t="s">
        <v>302</v>
      </c>
      <c r="AD98" s="24" t="s">
        <v>937</v>
      </c>
      <c r="AE98" s="29" t="n">
        <f aca="false">Z98+IF(OR(G98="EN",G98="EN (+DE artı)"),1,0)</f>
        <v>0.565</v>
      </c>
    </row>
    <row r="99" customFormat="false" ht="75" hidden="false" customHeight="true" outlineLevel="0" collapsed="false">
      <c r="A99" s="22" t="n">
        <v>95</v>
      </c>
      <c r="B99" s="22" t="s">
        <v>346</v>
      </c>
      <c r="C99" s="22" t="s">
        <v>938</v>
      </c>
      <c r="D99" s="22" t="s">
        <v>416</v>
      </c>
      <c r="E99" s="22" t="s">
        <v>116</v>
      </c>
      <c r="F99" s="22" t="s">
        <v>223</v>
      </c>
      <c r="G99" s="22" t="s">
        <v>52</v>
      </c>
      <c r="H99" s="22" t="s">
        <v>939</v>
      </c>
      <c r="I99" s="22" t="s">
        <v>119</v>
      </c>
      <c r="J99" s="22" t="s">
        <v>120</v>
      </c>
      <c r="K99" s="22" t="s">
        <v>418</v>
      </c>
      <c r="L99" s="22" t="s">
        <v>122</v>
      </c>
      <c r="M99" s="22" t="s">
        <v>138</v>
      </c>
      <c r="N99" s="23" t="s">
        <v>940</v>
      </c>
      <c r="O99" s="22" t="s">
        <v>149</v>
      </c>
      <c r="P99" s="24" t="s">
        <v>941</v>
      </c>
      <c r="Q99" s="22" t="s">
        <v>942</v>
      </c>
      <c r="R99" s="22" t="s">
        <v>354</v>
      </c>
      <c r="S99" s="22" t="s">
        <v>943</v>
      </c>
      <c r="T99" s="25" t="n">
        <v>2.5</v>
      </c>
      <c r="U99" s="25" t="n">
        <v>4.5</v>
      </c>
      <c r="V99" s="25" t="n">
        <v>1</v>
      </c>
      <c r="W99" s="25" t="n">
        <v>5</v>
      </c>
      <c r="X99" s="25" t="n">
        <v>5</v>
      </c>
      <c r="Y99" s="25" t="n">
        <v>3.5</v>
      </c>
      <c r="Z99" s="26" t="n">
        <f aca="false">ROUND((T99*Özet!$C$14+U99*Özet!$C$15+V99*Özet!$C$16+W99*Özet!$C$17+X99*Özet!$C$18+Y99*Özet!$C$19)/5,4)</f>
        <v>0.565</v>
      </c>
      <c r="AA99" s="27" t="n">
        <f aca="false">RANK(AE99,$AE$5:$AE$126)+COUNTIF($AE$5:AE99,AE99)-1</f>
        <v>95</v>
      </c>
      <c r="AB99" s="28" t="str">
        <f aca="false">IF(AND(OR(G99="EN",G99="EN (+DE artı)"),Z99&gt;=0.7),"A – Hemen başvur (İngilizce)",IF(Z99&gt;=0.7,"B – Başvur (Almanca gerekli)",IF(AND(OR(G99="EN",G99="EN (+DE artı)"),Z99&gt;=0.6),"B – Başvur (İngilizce)","C – Opsiyonel")))</f>
        <v>C – Opsiyonel</v>
      </c>
      <c r="AC99" s="22" t="s">
        <v>356</v>
      </c>
      <c r="AD99" s="24" t="s">
        <v>357</v>
      </c>
      <c r="AE99" s="29" t="n">
        <f aca="false">Z99+IF(OR(G99="EN",G99="EN (+DE artı)"),1,0)</f>
        <v>0.565</v>
      </c>
    </row>
    <row r="100" customFormat="false" ht="75" hidden="false" customHeight="true" outlineLevel="0" collapsed="false">
      <c r="A100" s="22" t="n">
        <v>96</v>
      </c>
      <c r="B100" s="22" t="s">
        <v>284</v>
      </c>
      <c r="C100" s="22" t="s">
        <v>944</v>
      </c>
      <c r="D100" s="22" t="s">
        <v>914</v>
      </c>
      <c r="E100" s="22" t="s">
        <v>200</v>
      </c>
      <c r="F100" s="22" t="s">
        <v>223</v>
      </c>
      <c r="G100" s="22" t="s">
        <v>52</v>
      </c>
      <c r="H100" s="22" t="s">
        <v>945</v>
      </c>
      <c r="I100" s="22" t="s">
        <v>119</v>
      </c>
      <c r="J100" s="22" t="s">
        <v>232</v>
      </c>
      <c r="K100" s="22" t="s">
        <v>946</v>
      </c>
      <c r="L100" s="22" t="s">
        <v>155</v>
      </c>
      <c r="M100" s="22" t="s">
        <v>138</v>
      </c>
      <c r="N100" s="23" t="s">
        <v>947</v>
      </c>
      <c r="O100" s="22" t="s">
        <v>125</v>
      </c>
      <c r="P100" s="22"/>
      <c r="Q100" s="22" t="s">
        <v>948</v>
      </c>
      <c r="R100" s="22" t="s">
        <v>949</v>
      </c>
      <c r="S100" s="22" t="s">
        <v>950</v>
      </c>
      <c r="T100" s="25" t="n">
        <v>4</v>
      </c>
      <c r="U100" s="25" t="n">
        <v>4</v>
      </c>
      <c r="V100" s="25" t="n">
        <v>1</v>
      </c>
      <c r="W100" s="25" t="n">
        <v>3.5</v>
      </c>
      <c r="X100" s="25" t="n">
        <v>2</v>
      </c>
      <c r="Y100" s="25" t="n">
        <v>3.5</v>
      </c>
      <c r="Z100" s="26" t="n">
        <f aca="false">ROUND((T100*Özet!$C$14+U100*Özet!$C$15+V100*Özet!$C$16+W100*Özet!$C$17+X100*Özet!$C$18+Y100*Özet!$C$19)/5,4)</f>
        <v>0.565</v>
      </c>
      <c r="AA100" s="27" t="n">
        <f aca="false">RANK(AE100,$AE$5:$AE$126)+COUNTIF($AE$5:AE100,AE100)-1</f>
        <v>96</v>
      </c>
      <c r="AB100" s="28" t="str">
        <f aca="false">IF(AND(OR(G100="EN",G100="EN (+DE artı)"),Z100&gt;=0.7),"A – Hemen başvur (İngilizce)",IF(Z100&gt;=0.7,"B – Başvur (Almanca gerekli)",IF(AND(OR(G100="EN",G100="EN (+DE artı)"),Z100&gt;=0.6),"B – Başvur (İngilizce)","C – Opsiyonel")))</f>
        <v>C – Opsiyonel</v>
      </c>
      <c r="AC100" s="22" t="s">
        <v>951</v>
      </c>
      <c r="AD100" s="24" t="s">
        <v>294</v>
      </c>
      <c r="AE100" s="29" t="n">
        <f aca="false">Z100+IF(OR(G100="EN",G100="EN (+DE artı)"),1,0)</f>
        <v>0.565</v>
      </c>
    </row>
    <row r="101" customFormat="false" ht="75" hidden="false" customHeight="true" outlineLevel="0" collapsed="false">
      <c r="A101" s="22" t="n">
        <v>97</v>
      </c>
      <c r="B101" s="22" t="s">
        <v>952</v>
      </c>
      <c r="C101" s="22" t="s">
        <v>953</v>
      </c>
      <c r="D101" s="22" t="s">
        <v>380</v>
      </c>
      <c r="E101" s="22" t="s">
        <v>381</v>
      </c>
      <c r="F101" s="22" t="s">
        <v>210</v>
      </c>
      <c r="G101" s="22" t="s">
        <v>52</v>
      </c>
      <c r="H101" s="22" t="s">
        <v>954</v>
      </c>
      <c r="I101" s="22" t="s">
        <v>119</v>
      </c>
      <c r="J101" s="22" t="s">
        <v>212</v>
      </c>
      <c r="K101" s="22" t="s">
        <v>955</v>
      </c>
      <c r="L101" s="22" t="s">
        <v>147</v>
      </c>
      <c r="M101" s="22" t="s">
        <v>138</v>
      </c>
      <c r="N101" s="23" t="s">
        <v>956</v>
      </c>
      <c r="O101" s="22" t="s">
        <v>125</v>
      </c>
      <c r="P101" s="22"/>
      <c r="Q101" s="22" t="s">
        <v>957</v>
      </c>
      <c r="R101" s="22" t="s">
        <v>422</v>
      </c>
      <c r="S101" s="22" t="s">
        <v>512</v>
      </c>
      <c r="T101" s="25" t="n">
        <v>4</v>
      </c>
      <c r="U101" s="25" t="n">
        <v>3</v>
      </c>
      <c r="V101" s="25" t="n">
        <v>1</v>
      </c>
      <c r="W101" s="25" t="n">
        <v>4</v>
      </c>
      <c r="X101" s="25" t="n">
        <v>3</v>
      </c>
      <c r="Y101" s="25" t="n">
        <v>3.5</v>
      </c>
      <c r="Z101" s="26" t="n">
        <f aca="false">ROUND((T101*Özet!$C$14+U101*Özet!$C$15+V101*Özet!$C$16+W101*Özet!$C$17+X101*Özet!$C$18+Y101*Özet!$C$19)/5,4)</f>
        <v>0.56</v>
      </c>
      <c r="AA101" s="27" t="n">
        <f aca="false">RANK(AE101,$AE$5:$AE$126)+COUNTIF($AE$5:AE101,AE101)-1</f>
        <v>97</v>
      </c>
      <c r="AB101" s="28" t="str">
        <f aca="false">IF(AND(OR(G101="EN",G101="EN (+DE artı)"),Z101&gt;=0.7),"A – Hemen başvur (İngilizce)",IF(Z101&gt;=0.7,"B – Başvur (Almanca gerekli)",IF(AND(OR(G101="EN",G101="EN (+DE artı)"),Z101&gt;=0.6),"B – Başvur (İngilizce)","C – Opsiyonel")))</f>
        <v>C – Opsiyonel</v>
      </c>
      <c r="AC101" s="22" t="s">
        <v>356</v>
      </c>
      <c r="AD101" s="24" t="s">
        <v>958</v>
      </c>
      <c r="AE101" s="29" t="n">
        <f aca="false">Z101+IF(OR(G101="EN",G101="EN (+DE artı)"),1,0)</f>
        <v>0.56</v>
      </c>
    </row>
    <row r="102" customFormat="false" ht="75" hidden="false" customHeight="true" outlineLevel="0" collapsed="false">
      <c r="A102" s="22" t="n">
        <v>98</v>
      </c>
      <c r="B102" s="22" t="s">
        <v>959</v>
      </c>
      <c r="C102" s="22" t="s">
        <v>960</v>
      </c>
      <c r="D102" s="22" t="s">
        <v>961</v>
      </c>
      <c r="E102" s="22" t="s">
        <v>116</v>
      </c>
      <c r="F102" s="22" t="s">
        <v>210</v>
      </c>
      <c r="G102" s="22" t="s">
        <v>50</v>
      </c>
      <c r="H102" s="22" t="s">
        <v>962</v>
      </c>
      <c r="I102" s="22" t="s">
        <v>119</v>
      </c>
      <c r="J102" s="22" t="s">
        <v>212</v>
      </c>
      <c r="K102" s="22" t="s">
        <v>963</v>
      </c>
      <c r="L102" s="22" t="s">
        <v>964</v>
      </c>
      <c r="M102" s="22" t="s">
        <v>138</v>
      </c>
      <c r="N102" s="23" t="s">
        <v>965</v>
      </c>
      <c r="O102" s="22" t="s">
        <v>149</v>
      </c>
      <c r="P102" s="22"/>
      <c r="Q102" s="22" t="s">
        <v>966</v>
      </c>
      <c r="R102" s="22" t="s">
        <v>967</v>
      </c>
      <c r="S102" s="22" t="s">
        <v>968</v>
      </c>
      <c r="T102" s="25" t="n">
        <v>3</v>
      </c>
      <c r="U102" s="25" t="n">
        <v>3</v>
      </c>
      <c r="V102" s="25" t="n">
        <v>1.5</v>
      </c>
      <c r="W102" s="25" t="n">
        <v>4</v>
      </c>
      <c r="X102" s="25" t="n">
        <v>5</v>
      </c>
      <c r="Y102" s="25" t="n">
        <v>3</v>
      </c>
      <c r="Z102" s="26" t="n">
        <f aca="false">ROUND((T102*Özet!$C$14+U102*Özet!$C$15+V102*Özet!$C$16+W102*Özet!$C$17+X102*Özet!$C$18+Y102*Özet!$C$19)/5,4)</f>
        <v>0.56</v>
      </c>
      <c r="AA102" s="27" t="n">
        <f aca="false">RANK(AE102,$AE$5:$AE$126)+COUNTIF($AE$5:AE102,AE102)-1</f>
        <v>98</v>
      </c>
      <c r="AB102" s="28" t="str">
        <f aca="false">IF(AND(OR(G102="EN",G102="EN (+DE artı)"),Z102&gt;=0.7),"A – Hemen başvur (İngilizce)",IF(Z102&gt;=0.7,"B – Başvur (Almanca gerekli)",IF(AND(OR(G102="EN",G102="EN (+DE artı)"),Z102&gt;=0.6),"B – Başvur (İngilizce)","C – Opsiyonel")))</f>
        <v>C – Opsiyonel</v>
      </c>
      <c r="AC102" s="22" t="s">
        <v>302</v>
      </c>
      <c r="AD102" s="24" t="s">
        <v>969</v>
      </c>
      <c r="AE102" s="29" t="n">
        <f aca="false">Z102+IF(OR(G102="EN",G102="EN (+DE artı)"),1,0)</f>
        <v>0.56</v>
      </c>
    </row>
    <row r="103" customFormat="false" ht="75" hidden="false" customHeight="true" outlineLevel="0" collapsed="false">
      <c r="A103" s="22" t="n">
        <v>99</v>
      </c>
      <c r="B103" s="22" t="s">
        <v>970</v>
      </c>
      <c r="C103" s="22" t="s">
        <v>971</v>
      </c>
      <c r="D103" s="22" t="s">
        <v>348</v>
      </c>
      <c r="E103" s="22" t="s">
        <v>116</v>
      </c>
      <c r="F103" s="22" t="s">
        <v>223</v>
      </c>
      <c r="G103" s="22" t="s">
        <v>50</v>
      </c>
      <c r="H103" s="22" t="s">
        <v>277</v>
      </c>
      <c r="I103" s="22" t="s">
        <v>119</v>
      </c>
      <c r="J103" s="22" t="s">
        <v>232</v>
      </c>
      <c r="K103" s="22" t="s">
        <v>972</v>
      </c>
      <c r="L103" s="22" t="s">
        <v>269</v>
      </c>
      <c r="M103" s="22" t="s">
        <v>138</v>
      </c>
      <c r="N103" s="23" t="s">
        <v>973</v>
      </c>
      <c r="O103" s="22" t="s">
        <v>149</v>
      </c>
      <c r="P103" s="22"/>
      <c r="Q103" s="22" t="s">
        <v>974</v>
      </c>
      <c r="R103" s="22" t="s">
        <v>975</v>
      </c>
      <c r="S103" s="22" t="s">
        <v>976</v>
      </c>
      <c r="T103" s="25" t="n">
        <v>2</v>
      </c>
      <c r="U103" s="25" t="n">
        <v>4</v>
      </c>
      <c r="V103" s="25" t="n">
        <v>1.5</v>
      </c>
      <c r="W103" s="25" t="n">
        <v>4</v>
      </c>
      <c r="X103" s="25" t="n">
        <v>5</v>
      </c>
      <c r="Y103" s="25" t="n">
        <v>4.5</v>
      </c>
      <c r="Z103" s="26" t="n">
        <f aca="false">ROUND((T103*Özet!$C$14+U103*Özet!$C$15+V103*Özet!$C$16+W103*Özet!$C$17+X103*Özet!$C$18+Y103*Özet!$C$19)/5,4)</f>
        <v>0.56</v>
      </c>
      <c r="AA103" s="27" t="n">
        <f aca="false">RANK(AE103,$AE$5:$AE$126)+COUNTIF($AE$5:AE103,AE103)-1</f>
        <v>99</v>
      </c>
      <c r="AB103" s="28" t="str">
        <f aca="false">IF(AND(OR(G103="EN",G103="EN (+DE artı)"),Z103&gt;=0.7),"A – Hemen başvur (İngilizce)",IF(Z103&gt;=0.7,"B – Başvur (Almanca gerekli)",IF(AND(OR(G103="EN",G103="EN (+DE artı)"),Z103&gt;=0.6),"B – Başvur (İngilizce)","C – Opsiyonel")))</f>
        <v>C – Opsiyonel</v>
      </c>
      <c r="AC103" s="22" t="s">
        <v>302</v>
      </c>
      <c r="AD103" s="24" t="s">
        <v>977</v>
      </c>
      <c r="AE103" s="29" t="n">
        <f aca="false">Z103+IF(OR(G103="EN",G103="EN (+DE artı)"),1,0)</f>
        <v>0.56</v>
      </c>
    </row>
    <row r="104" customFormat="false" ht="75" hidden="false" customHeight="true" outlineLevel="0" collapsed="false">
      <c r="A104" s="22" t="n">
        <v>100</v>
      </c>
      <c r="B104" s="22" t="s">
        <v>978</v>
      </c>
      <c r="C104" s="22" t="s">
        <v>979</v>
      </c>
      <c r="D104" s="22" t="s">
        <v>798</v>
      </c>
      <c r="E104" s="22" t="s">
        <v>200</v>
      </c>
      <c r="F104" s="22" t="s">
        <v>740</v>
      </c>
      <c r="G104" s="22" t="s">
        <v>52</v>
      </c>
      <c r="H104" s="22" t="s">
        <v>980</v>
      </c>
      <c r="I104" s="22" t="s">
        <v>119</v>
      </c>
      <c r="J104" s="22" t="s">
        <v>120</v>
      </c>
      <c r="K104" s="22" t="s">
        <v>327</v>
      </c>
      <c r="L104" s="22" t="s">
        <v>540</v>
      </c>
      <c r="M104" s="22" t="s">
        <v>183</v>
      </c>
      <c r="N104" s="23" t="s">
        <v>981</v>
      </c>
      <c r="O104" s="22" t="s">
        <v>125</v>
      </c>
      <c r="P104" s="22"/>
      <c r="Q104" s="22" t="s">
        <v>982</v>
      </c>
      <c r="R104" s="22" t="s">
        <v>142</v>
      </c>
      <c r="S104" s="22" t="s">
        <v>331</v>
      </c>
      <c r="T104" s="25" t="n">
        <v>3.5</v>
      </c>
      <c r="U104" s="25" t="n">
        <v>4.5</v>
      </c>
      <c r="V104" s="25" t="n">
        <v>1</v>
      </c>
      <c r="W104" s="25" t="n">
        <v>3.5</v>
      </c>
      <c r="X104" s="25" t="n">
        <v>2</v>
      </c>
      <c r="Y104" s="25" t="n">
        <v>4</v>
      </c>
      <c r="Z104" s="26" t="n">
        <f aca="false">ROUND((T104*Özet!$C$14+U104*Özet!$C$15+V104*Özet!$C$16+W104*Özet!$C$17+X104*Özet!$C$18+Y104*Özet!$C$19)/5,4)</f>
        <v>0.56</v>
      </c>
      <c r="AA104" s="27" t="n">
        <f aca="false">RANK(AE104,$AE$5:$AE$126)+COUNTIF($AE$5:AE104,AE104)-1</f>
        <v>100</v>
      </c>
      <c r="AB104" s="28" t="str">
        <f aca="false">IF(AND(OR(G104="EN",G104="EN (+DE artı)"),Z104&gt;=0.7),"A – Hemen başvur (İngilizce)",IF(Z104&gt;=0.7,"B – Başvur (Almanca gerekli)",IF(AND(OR(G104="EN",G104="EN (+DE artı)"),Z104&gt;=0.6),"B – Başvur (İngilizce)","C – Opsiyonel")))</f>
        <v>C – Opsiyonel</v>
      </c>
      <c r="AC104" s="22" t="s">
        <v>445</v>
      </c>
      <c r="AD104" s="24" t="s">
        <v>983</v>
      </c>
      <c r="AE104" s="29" t="n">
        <f aca="false">Z104+IF(OR(G104="EN",G104="EN (+DE artı)"),1,0)</f>
        <v>0.56</v>
      </c>
    </row>
    <row r="105" customFormat="false" ht="75" hidden="false" customHeight="true" outlineLevel="0" collapsed="false">
      <c r="A105" s="22" t="n">
        <v>101</v>
      </c>
      <c r="B105" s="22" t="s">
        <v>984</v>
      </c>
      <c r="C105" s="22" t="s">
        <v>985</v>
      </c>
      <c r="D105" s="22" t="s">
        <v>181</v>
      </c>
      <c r="E105" s="22" t="s">
        <v>116</v>
      </c>
      <c r="F105" s="22" t="s">
        <v>682</v>
      </c>
      <c r="G105" s="22" t="s">
        <v>52</v>
      </c>
      <c r="H105" s="22" t="s">
        <v>986</v>
      </c>
      <c r="I105" s="22" t="s">
        <v>119</v>
      </c>
      <c r="J105" s="22" t="s">
        <v>120</v>
      </c>
      <c r="K105" s="22" t="s">
        <v>673</v>
      </c>
      <c r="L105" s="22" t="s">
        <v>987</v>
      </c>
      <c r="M105" s="22" t="s">
        <v>183</v>
      </c>
      <c r="N105" s="23" t="s">
        <v>988</v>
      </c>
      <c r="O105" s="22" t="s">
        <v>125</v>
      </c>
      <c r="P105" s="22"/>
      <c r="Q105" s="22" t="s">
        <v>989</v>
      </c>
      <c r="R105" s="22" t="s">
        <v>990</v>
      </c>
      <c r="S105" s="22" t="s">
        <v>991</v>
      </c>
      <c r="T105" s="25" t="n">
        <v>2.5</v>
      </c>
      <c r="U105" s="25" t="n">
        <v>4.5</v>
      </c>
      <c r="V105" s="25" t="n">
        <v>1</v>
      </c>
      <c r="W105" s="25" t="n">
        <v>5</v>
      </c>
      <c r="X105" s="25" t="n">
        <v>5</v>
      </c>
      <c r="Y105" s="25" t="n">
        <v>3</v>
      </c>
      <c r="Z105" s="26" t="n">
        <f aca="false">ROUND((T105*Özet!$C$14+U105*Özet!$C$15+V105*Özet!$C$16+W105*Özet!$C$17+X105*Özet!$C$18+Y105*Özet!$C$19)/5,4)</f>
        <v>0.555</v>
      </c>
      <c r="AA105" s="27" t="n">
        <f aca="false">RANK(AE105,$AE$5:$AE$126)+COUNTIF($AE$5:AE105,AE105)-1</f>
        <v>101</v>
      </c>
      <c r="AB105" s="28" t="str">
        <f aca="false">IF(AND(OR(G105="EN",G105="EN (+DE artı)"),Z105&gt;=0.7),"A – Hemen başvur (İngilizce)",IF(Z105&gt;=0.7,"B – Başvur (Almanca gerekli)",IF(AND(OR(G105="EN",G105="EN (+DE artı)"),Z105&gt;=0.6),"B – Başvur (İngilizce)","C – Opsiyonel")))</f>
        <v>C – Opsiyonel</v>
      </c>
      <c r="AC105" s="22" t="s">
        <v>356</v>
      </c>
      <c r="AD105" s="24" t="s">
        <v>992</v>
      </c>
      <c r="AE105" s="29" t="n">
        <f aca="false">Z105+IF(OR(G105="EN",G105="EN (+DE artı)"),1,0)</f>
        <v>0.555</v>
      </c>
    </row>
    <row r="106" customFormat="false" ht="75" hidden="false" customHeight="true" outlineLevel="0" collapsed="false">
      <c r="A106" s="22" t="n">
        <v>102</v>
      </c>
      <c r="B106" s="22" t="s">
        <v>993</v>
      </c>
      <c r="C106" s="22" t="s">
        <v>994</v>
      </c>
      <c r="D106" s="22" t="s">
        <v>297</v>
      </c>
      <c r="E106" s="22" t="s">
        <v>116</v>
      </c>
      <c r="F106" s="22" t="s">
        <v>682</v>
      </c>
      <c r="G106" s="22" t="s">
        <v>50</v>
      </c>
      <c r="H106" s="22" t="s">
        <v>277</v>
      </c>
      <c r="I106" s="22" t="s">
        <v>119</v>
      </c>
      <c r="J106" s="22" t="s">
        <v>212</v>
      </c>
      <c r="K106" s="22" t="s">
        <v>719</v>
      </c>
      <c r="L106" s="22" t="s">
        <v>155</v>
      </c>
      <c r="M106" s="22" t="s">
        <v>138</v>
      </c>
      <c r="N106" s="23" t="s">
        <v>995</v>
      </c>
      <c r="O106" s="22" t="s">
        <v>149</v>
      </c>
      <c r="P106" s="22"/>
      <c r="Q106" s="22" t="s">
        <v>996</v>
      </c>
      <c r="R106" s="22" t="s">
        <v>997</v>
      </c>
      <c r="S106" s="22" t="s">
        <v>998</v>
      </c>
      <c r="T106" s="25" t="n">
        <v>2.5</v>
      </c>
      <c r="U106" s="25" t="n">
        <v>3</v>
      </c>
      <c r="V106" s="25" t="n">
        <v>1.5</v>
      </c>
      <c r="W106" s="25" t="n">
        <v>5</v>
      </c>
      <c r="X106" s="25" t="n">
        <v>5</v>
      </c>
      <c r="Y106" s="25" t="n">
        <v>3.5</v>
      </c>
      <c r="Z106" s="26" t="n">
        <f aca="false">ROUND((T106*Özet!$C$14+U106*Özet!$C$15+V106*Özet!$C$16+W106*Özet!$C$17+X106*Özet!$C$18+Y106*Özet!$C$19)/5,4)</f>
        <v>0.55</v>
      </c>
      <c r="AA106" s="27" t="n">
        <f aca="false">RANK(AE106,$AE$5:$AE$126)+COUNTIF($AE$5:AE106,AE106)-1</f>
        <v>102</v>
      </c>
      <c r="AB106" s="28" t="str">
        <f aca="false">IF(AND(OR(G106="EN",G106="EN (+DE artı)"),Z106&gt;=0.7),"A – Hemen başvur (İngilizce)",IF(Z106&gt;=0.7,"B – Başvur (Almanca gerekli)",IF(AND(OR(G106="EN",G106="EN (+DE artı)"),Z106&gt;=0.6),"B – Başvur (İngilizce)","C – Opsiyonel")))</f>
        <v>C – Opsiyonel</v>
      </c>
      <c r="AC106" s="22" t="s">
        <v>302</v>
      </c>
      <c r="AD106" s="24" t="s">
        <v>999</v>
      </c>
      <c r="AE106" s="29" t="n">
        <f aca="false">Z106+IF(OR(G106="EN",G106="EN (+DE artı)"),1,0)</f>
        <v>0.55</v>
      </c>
    </row>
    <row r="107" customFormat="false" ht="75" hidden="false" customHeight="true" outlineLevel="0" collapsed="false">
      <c r="A107" s="22" t="n">
        <v>103</v>
      </c>
      <c r="B107" s="22" t="s">
        <v>1000</v>
      </c>
      <c r="C107" s="22" t="s">
        <v>514</v>
      </c>
      <c r="D107" s="22" t="s">
        <v>1001</v>
      </c>
      <c r="E107" s="22" t="s">
        <v>381</v>
      </c>
      <c r="F107" s="22" t="s">
        <v>223</v>
      </c>
      <c r="G107" s="22" t="s">
        <v>52</v>
      </c>
      <c r="H107" s="22" t="s">
        <v>1002</v>
      </c>
      <c r="I107" s="22" t="s">
        <v>119</v>
      </c>
      <c r="J107" s="22" t="s">
        <v>232</v>
      </c>
      <c r="K107" s="22" t="s">
        <v>1003</v>
      </c>
      <c r="L107" s="22" t="s">
        <v>182</v>
      </c>
      <c r="M107" s="22" t="s">
        <v>138</v>
      </c>
      <c r="N107" s="23" t="s">
        <v>1004</v>
      </c>
      <c r="O107" s="22" t="s">
        <v>125</v>
      </c>
      <c r="P107" s="22"/>
      <c r="Q107" s="22" t="s">
        <v>1005</v>
      </c>
      <c r="R107" s="22" t="s">
        <v>1006</v>
      </c>
      <c r="S107" s="22" t="s">
        <v>1007</v>
      </c>
      <c r="T107" s="25" t="n">
        <v>3.5</v>
      </c>
      <c r="U107" s="25" t="n">
        <v>4</v>
      </c>
      <c r="V107" s="25" t="n">
        <v>1</v>
      </c>
      <c r="W107" s="25" t="n">
        <v>4</v>
      </c>
      <c r="X107" s="25" t="n">
        <v>3</v>
      </c>
      <c r="Y107" s="25" t="n">
        <v>3</v>
      </c>
      <c r="Z107" s="26" t="n">
        <f aca="false">ROUND((T107*Özet!$C$14+U107*Özet!$C$15+V107*Özet!$C$16+W107*Özet!$C$17+X107*Özet!$C$18+Y107*Özet!$C$19)/5,4)</f>
        <v>0.55</v>
      </c>
      <c r="AA107" s="27" t="n">
        <f aca="false">RANK(AE107,$AE$5:$AE$126)+COUNTIF($AE$5:AE107,AE107)-1</f>
        <v>103</v>
      </c>
      <c r="AB107" s="28" t="str">
        <f aca="false">IF(AND(OR(G107="EN",G107="EN (+DE artı)"),Z107&gt;=0.7),"A – Hemen başvur (İngilizce)",IF(Z107&gt;=0.7,"B – Başvur (Almanca gerekli)",IF(AND(OR(G107="EN",G107="EN (+DE artı)"),Z107&gt;=0.6),"B – Başvur (İngilizce)","C – Opsiyonel")))</f>
        <v>C – Opsiyonel</v>
      </c>
      <c r="AC107" s="22" t="s">
        <v>356</v>
      </c>
      <c r="AD107" s="24" t="s">
        <v>1008</v>
      </c>
      <c r="AE107" s="29" t="n">
        <f aca="false">Z107+IF(OR(G107="EN",G107="EN (+DE artı)"),1,0)</f>
        <v>0.55</v>
      </c>
    </row>
    <row r="108" customFormat="false" ht="75" hidden="false" customHeight="true" outlineLevel="0" collapsed="false">
      <c r="A108" s="22" t="n">
        <v>104</v>
      </c>
      <c r="B108" s="22" t="s">
        <v>689</v>
      </c>
      <c r="C108" s="22" t="s">
        <v>1009</v>
      </c>
      <c r="D108" s="22" t="s">
        <v>390</v>
      </c>
      <c r="E108" s="22" t="s">
        <v>116</v>
      </c>
      <c r="F108" s="22" t="s">
        <v>682</v>
      </c>
      <c r="G108" s="22" t="s">
        <v>50</v>
      </c>
      <c r="H108" s="22" t="s">
        <v>277</v>
      </c>
      <c r="I108" s="22" t="s">
        <v>119</v>
      </c>
      <c r="J108" s="22" t="s">
        <v>232</v>
      </c>
      <c r="K108" s="22" t="s">
        <v>1010</v>
      </c>
      <c r="L108" s="22" t="s">
        <v>182</v>
      </c>
      <c r="M108" s="22" t="s">
        <v>138</v>
      </c>
      <c r="N108" s="23" t="s">
        <v>1011</v>
      </c>
      <c r="O108" s="22" t="s">
        <v>149</v>
      </c>
      <c r="P108" s="22"/>
      <c r="Q108" s="22" t="s">
        <v>1012</v>
      </c>
      <c r="R108" s="22" t="s">
        <v>1013</v>
      </c>
      <c r="S108" s="22" t="s">
        <v>1014</v>
      </c>
      <c r="T108" s="25" t="n">
        <v>2</v>
      </c>
      <c r="U108" s="25" t="n">
        <v>4</v>
      </c>
      <c r="V108" s="25" t="n">
        <v>1.5</v>
      </c>
      <c r="W108" s="25" t="n">
        <v>3.5</v>
      </c>
      <c r="X108" s="25" t="n">
        <v>5</v>
      </c>
      <c r="Y108" s="25" t="n">
        <v>4</v>
      </c>
      <c r="Z108" s="26" t="n">
        <f aca="false">ROUND((T108*Özet!$C$14+U108*Özet!$C$15+V108*Özet!$C$16+W108*Özet!$C$17+X108*Özet!$C$18+Y108*Özet!$C$19)/5,4)</f>
        <v>0.545</v>
      </c>
      <c r="AA108" s="27" t="n">
        <f aca="false">RANK(AE108,$AE$5:$AE$126)+COUNTIF($AE$5:AE108,AE108)-1</f>
        <v>104</v>
      </c>
      <c r="AB108" s="28" t="str">
        <f aca="false">IF(AND(OR(G108="EN",G108="EN (+DE artı)"),Z108&gt;=0.7),"A – Hemen başvur (İngilizce)",IF(Z108&gt;=0.7,"B – Başvur (Almanca gerekli)",IF(AND(OR(G108="EN",G108="EN (+DE artı)"),Z108&gt;=0.6),"B – Başvur (İngilizce)","C – Opsiyonel")))</f>
        <v>C – Opsiyonel</v>
      </c>
      <c r="AC108" s="22" t="s">
        <v>302</v>
      </c>
      <c r="AD108" s="24" t="s">
        <v>697</v>
      </c>
      <c r="AE108" s="29" t="n">
        <f aca="false">Z108+IF(OR(G108="EN",G108="EN (+DE artı)"),1,0)</f>
        <v>0.545</v>
      </c>
    </row>
    <row r="109" customFormat="false" ht="75" hidden="false" customHeight="true" outlineLevel="0" collapsed="false">
      <c r="A109" s="22" t="n">
        <v>105</v>
      </c>
      <c r="B109" s="22" t="s">
        <v>1015</v>
      </c>
      <c r="C109" s="22" t="s">
        <v>1016</v>
      </c>
      <c r="D109" s="22" t="s">
        <v>297</v>
      </c>
      <c r="E109" s="22" t="s">
        <v>116</v>
      </c>
      <c r="F109" s="22" t="s">
        <v>223</v>
      </c>
      <c r="G109" s="22" t="s">
        <v>52</v>
      </c>
      <c r="H109" s="22" t="s">
        <v>1017</v>
      </c>
      <c r="I109" s="22" t="s">
        <v>119</v>
      </c>
      <c r="J109" s="22" t="s">
        <v>232</v>
      </c>
      <c r="K109" s="22" t="s">
        <v>1018</v>
      </c>
      <c r="L109" s="22" t="s">
        <v>122</v>
      </c>
      <c r="M109" s="22" t="s">
        <v>138</v>
      </c>
      <c r="N109" s="23" t="s">
        <v>1019</v>
      </c>
      <c r="O109" s="22" t="s">
        <v>149</v>
      </c>
      <c r="P109" s="22"/>
      <c r="Q109" s="22" t="s">
        <v>1020</v>
      </c>
      <c r="R109" s="22" t="s">
        <v>1021</v>
      </c>
      <c r="S109" s="22" t="s">
        <v>1022</v>
      </c>
      <c r="T109" s="25" t="n">
        <v>2.5</v>
      </c>
      <c r="U109" s="25" t="n">
        <v>4</v>
      </c>
      <c r="V109" s="25" t="n">
        <v>1</v>
      </c>
      <c r="W109" s="25" t="n">
        <v>5</v>
      </c>
      <c r="X109" s="25" t="n">
        <v>5</v>
      </c>
      <c r="Y109" s="25" t="n">
        <v>3</v>
      </c>
      <c r="Z109" s="26" t="n">
        <f aca="false">ROUND((T109*Özet!$C$14+U109*Özet!$C$15+V109*Özet!$C$16+W109*Özet!$C$17+X109*Özet!$C$18+Y109*Özet!$C$19)/5,4)</f>
        <v>0.54</v>
      </c>
      <c r="AA109" s="27" t="n">
        <f aca="false">RANK(AE109,$AE$5:$AE$126)+COUNTIF($AE$5:AE109,AE109)-1</f>
        <v>105</v>
      </c>
      <c r="AB109" s="28" t="str">
        <f aca="false">IF(AND(OR(G109="EN",G109="EN (+DE artı)"),Z109&gt;=0.7),"A – Hemen başvur (İngilizce)",IF(Z109&gt;=0.7,"B – Başvur (Almanca gerekli)",IF(AND(OR(G109="EN",G109="EN (+DE artı)"),Z109&gt;=0.6),"B – Başvur (İngilizce)","C – Opsiyonel")))</f>
        <v>C – Opsiyonel</v>
      </c>
      <c r="AC109" s="22" t="s">
        <v>356</v>
      </c>
      <c r="AD109" s="24" t="s">
        <v>1023</v>
      </c>
      <c r="AE109" s="29" t="n">
        <f aca="false">Z109+IF(OR(G109="EN",G109="EN (+DE artı)"),1,0)</f>
        <v>0.54</v>
      </c>
    </row>
    <row r="110" customFormat="false" ht="75" hidden="false" customHeight="true" outlineLevel="0" collapsed="false">
      <c r="A110" s="22" t="n">
        <v>106</v>
      </c>
      <c r="B110" s="22" t="s">
        <v>874</v>
      </c>
      <c r="C110" s="22" t="s">
        <v>1024</v>
      </c>
      <c r="D110" s="22" t="s">
        <v>876</v>
      </c>
      <c r="E110" s="22" t="s">
        <v>200</v>
      </c>
      <c r="F110" s="22" t="s">
        <v>210</v>
      </c>
      <c r="G110" s="22" t="s">
        <v>52</v>
      </c>
      <c r="H110" s="22" t="s">
        <v>1025</v>
      </c>
      <c r="I110" s="22" t="s">
        <v>119</v>
      </c>
      <c r="J110" s="22" t="s">
        <v>212</v>
      </c>
      <c r="K110" s="22" t="s">
        <v>719</v>
      </c>
      <c r="L110" s="22" t="s">
        <v>147</v>
      </c>
      <c r="M110" s="22" t="s">
        <v>138</v>
      </c>
      <c r="N110" s="23" t="s">
        <v>1026</v>
      </c>
      <c r="O110" s="22" t="s">
        <v>125</v>
      </c>
      <c r="P110" s="24" t="s">
        <v>1027</v>
      </c>
      <c r="Q110" s="22" t="s">
        <v>1028</v>
      </c>
      <c r="R110" s="22" t="s">
        <v>728</v>
      </c>
      <c r="S110" s="22" t="s">
        <v>331</v>
      </c>
      <c r="T110" s="25" t="n">
        <v>4</v>
      </c>
      <c r="U110" s="25" t="n">
        <v>3</v>
      </c>
      <c r="V110" s="25" t="n">
        <v>1</v>
      </c>
      <c r="W110" s="25" t="n">
        <v>4</v>
      </c>
      <c r="X110" s="25" t="n">
        <v>2</v>
      </c>
      <c r="Y110" s="25" t="n">
        <v>3.5</v>
      </c>
      <c r="Z110" s="26" t="n">
        <f aca="false">ROUND((T110*Özet!$C$14+U110*Özet!$C$15+V110*Özet!$C$16+W110*Özet!$C$17+X110*Özet!$C$18+Y110*Özet!$C$19)/5,4)</f>
        <v>0.54</v>
      </c>
      <c r="AA110" s="27" t="n">
        <f aca="false">RANK(AE110,$AE$5:$AE$126)+COUNTIF($AE$5:AE110,AE110)-1</f>
        <v>106</v>
      </c>
      <c r="AB110" s="28" t="str">
        <f aca="false">IF(AND(OR(G110="EN",G110="EN (+DE artı)"),Z110&gt;=0.7),"A – Hemen başvur (İngilizce)",IF(Z110&gt;=0.7,"B – Başvur (Almanca gerekli)",IF(AND(OR(G110="EN",G110="EN (+DE artı)"),Z110&gt;=0.6),"B – Başvur (İngilizce)","C – Opsiyonel")))</f>
        <v>C – Opsiyonel</v>
      </c>
      <c r="AC110" s="22" t="s">
        <v>356</v>
      </c>
      <c r="AD110" s="24" t="s">
        <v>884</v>
      </c>
      <c r="AE110" s="29" t="n">
        <f aca="false">Z110+IF(OR(G110="EN",G110="EN (+DE artı)"),1,0)</f>
        <v>0.54</v>
      </c>
    </row>
    <row r="111" customFormat="false" ht="75" hidden="false" customHeight="true" outlineLevel="0" collapsed="false">
      <c r="A111" s="22" t="n">
        <v>107</v>
      </c>
      <c r="B111" s="22" t="s">
        <v>207</v>
      </c>
      <c r="C111" s="22" t="s">
        <v>1029</v>
      </c>
      <c r="D111" s="22" t="s">
        <v>297</v>
      </c>
      <c r="E111" s="22" t="s">
        <v>116</v>
      </c>
      <c r="F111" s="22" t="s">
        <v>248</v>
      </c>
      <c r="G111" s="22" t="s">
        <v>52</v>
      </c>
      <c r="H111" s="22" t="s">
        <v>1030</v>
      </c>
      <c r="I111" s="22" t="s">
        <v>119</v>
      </c>
      <c r="J111" s="22" t="s">
        <v>120</v>
      </c>
      <c r="K111" s="22" t="s">
        <v>1031</v>
      </c>
      <c r="L111" s="22" t="s">
        <v>122</v>
      </c>
      <c r="M111" s="22" t="s">
        <v>138</v>
      </c>
      <c r="N111" s="23" t="s">
        <v>1032</v>
      </c>
      <c r="O111" s="22" t="s">
        <v>149</v>
      </c>
      <c r="P111" s="22"/>
      <c r="Q111" s="22" t="s">
        <v>1033</v>
      </c>
      <c r="R111" s="22" t="s">
        <v>1034</v>
      </c>
      <c r="S111" s="22" t="s">
        <v>1035</v>
      </c>
      <c r="T111" s="25" t="n">
        <v>2</v>
      </c>
      <c r="U111" s="25" t="n">
        <v>4.5</v>
      </c>
      <c r="V111" s="25" t="n">
        <v>1</v>
      </c>
      <c r="W111" s="25" t="n">
        <v>3.5</v>
      </c>
      <c r="X111" s="25" t="n">
        <v>5</v>
      </c>
      <c r="Y111" s="25" t="n">
        <v>4</v>
      </c>
      <c r="Z111" s="26" t="n">
        <f aca="false">ROUND((T111*Özet!$C$14+U111*Özet!$C$15+V111*Özet!$C$16+W111*Özet!$C$17+X111*Özet!$C$18+Y111*Özet!$C$19)/5,4)</f>
        <v>0.53</v>
      </c>
      <c r="AA111" s="27" t="n">
        <f aca="false">RANK(AE111,$AE$5:$AE$126)+COUNTIF($AE$5:AE111,AE111)-1</f>
        <v>107</v>
      </c>
      <c r="AB111" s="28" t="str">
        <f aca="false">IF(AND(OR(G111="EN",G111="EN (+DE artı)"),Z111&gt;=0.7),"A – Hemen başvur (İngilizce)",IF(Z111&gt;=0.7,"B – Başvur (Almanca gerekli)",IF(AND(OR(G111="EN",G111="EN (+DE artı)"),Z111&gt;=0.6),"B – Başvur (İngilizce)","C – Opsiyonel")))</f>
        <v>C – Opsiyonel</v>
      </c>
      <c r="AC111" s="22" t="s">
        <v>445</v>
      </c>
      <c r="AD111" s="24" t="s">
        <v>221</v>
      </c>
      <c r="AE111" s="29" t="n">
        <f aca="false">Z111+IF(OR(G111="EN",G111="EN (+DE artı)"),1,0)</f>
        <v>0.53</v>
      </c>
    </row>
    <row r="112" customFormat="false" ht="75" hidden="false" customHeight="true" outlineLevel="0" collapsed="false">
      <c r="A112" s="22" t="n">
        <v>108</v>
      </c>
      <c r="B112" s="22" t="s">
        <v>1036</v>
      </c>
      <c r="C112" s="22" t="s">
        <v>1037</v>
      </c>
      <c r="D112" s="22" t="s">
        <v>258</v>
      </c>
      <c r="E112" s="22" t="s">
        <v>116</v>
      </c>
      <c r="F112" s="22" t="s">
        <v>248</v>
      </c>
      <c r="G112" s="22" t="s">
        <v>52</v>
      </c>
      <c r="H112" s="22" t="s">
        <v>1038</v>
      </c>
      <c r="I112" s="22" t="s">
        <v>119</v>
      </c>
      <c r="J112" s="22" t="s">
        <v>232</v>
      </c>
      <c r="K112" s="22" t="s">
        <v>742</v>
      </c>
      <c r="L112" s="22" t="s">
        <v>224</v>
      </c>
      <c r="M112" s="22" t="s">
        <v>183</v>
      </c>
      <c r="N112" s="23" t="s">
        <v>1039</v>
      </c>
      <c r="O112" s="22" t="s">
        <v>125</v>
      </c>
      <c r="P112" s="22"/>
      <c r="Q112" s="22" t="s">
        <v>1040</v>
      </c>
      <c r="R112" s="22" t="s">
        <v>1041</v>
      </c>
      <c r="S112" s="22" t="s">
        <v>1042</v>
      </c>
      <c r="T112" s="25" t="n">
        <v>2</v>
      </c>
      <c r="U112" s="25" t="n">
        <v>4</v>
      </c>
      <c r="V112" s="25" t="n">
        <v>1</v>
      </c>
      <c r="W112" s="25" t="n">
        <v>5</v>
      </c>
      <c r="X112" s="25" t="n">
        <v>5</v>
      </c>
      <c r="Y112" s="25" t="n">
        <v>4</v>
      </c>
      <c r="Z112" s="26" t="n">
        <f aca="false">ROUND((T112*Özet!$C$14+U112*Özet!$C$15+V112*Özet!$C$16+W112*Özet!$C$17+X112*Özet!$C$18+Y112*Özet!$C$19)/5,4)</f>
        <v>0.53</v>
      </c>
      <c r="AA112" s="27" t="n">
        <f aca="false">RANK(AE112,$AE$5:$AE$126)+COUNTIF($AE$5:AE112,AE112)-1</f>
        <v>108</v>
      </c>
      <c r="AB112" s="28" t="str">
        <f aca="false">IF(AND(OR(G112="EN",G112="EN (+DE artı)"),Z112&gt;=0.7),"A – Hemen başvur (İngilizce)",IF(Z112&gt;=0.7,"B – Başvur (Almanca gerekli)",IF(AND(OR(G112="EN",G112="EN (+DE artı)"),Z112&gt;=0.6),"B – Başvur (İngilizce)","C – Opsiyonel")))</f>
        <v>C – Opsiyonel</v>
      </c>
      <c r="AC112" s="22" t="s">
        <v>356</v>
      </c>
      <c r="AD112" s="24" t="s">
        <v>1043</v>
      </c>
      <c r="AE112" s="29" t="n">
        <f aca="false">Z112+IF(OR(G112="EN",G112="EN (+DE artı)"),1,0)</f>
        <v>0.53</v>
      </c>
    </row>
    <row r="113" customFormat="false" ht="75" hidden="false" customHeight="true" outlineLevel="0" collapsed="false">
      <c r="A113" s="22" t="n">
        <v>109</v>
      </c>
      <c r="B113" s="22" t="s">
        <v>1044</v>
      </c>
      <c r="C113" s="22" t="s">
        <v>1045</v>
      </c>
      <c r="D113" s="22" t="s">
        <v>1046</v>
      </c>
      <c r="E113" s="22" t="s">
        <v>200</v>
      </c>
      <c r="F113" s="22" t="s">
        <v>223</v>
      </c>
      <c r="G113" s="22" t="s">
        <v>52</v>
      </c>
      <c r="H113" s="22" t="s">
        <v>1047</v>
      </c>
      <c r="I113" s="22" t="s">
        <v>119</v>
      </c>
      <c r="J113" s="22" t="s">
        <v>232</v>
      </c>
      <c r="K113" s="22" t="s">
        <v>136</v>
      </c>
      <c r="L113" s="22" t="s">
        <v>224</v>
      </c>
      <c r="M113" s="22" t="s">
        <v>183</v>
      </c>
      <c r="N113" s="23" t="s">
        <v>1048</v>
      </c>
      <c r="O113" s="22" t="s">
        <v>125</v>
      </c>
      <c r="P113" s="24" t="s">
        <v>1049</v>
      </c>
      <c r="Q113" s="22" t="s">
        <v>1050</v>
      </c>
      <c r="R113" s="22" t="s">
        <v>857</v>
      </c>
      <c r="S113" s="22" t="s">
        <v>1051</v>
      </c>
      <c r="T113" s="25" t="n">
        <v>3.5</v>
      </c>
      <c r="U113" s="25" t="n">
        <v>4</v>
      </c>
      <c r="V113" s="25" t="n">
        <v>1</v>
      </c>
      <c r="W113" s="25" t="n">
        <v>4</v>
      </c>
      <c r="X113" s="25" t="n">
        <v>2</v>
      </c>
      <c r="Y113" s="25" t="n">
        <v>3</v>
      </c>
      <c r="Z113" s="26" t="n">
        <f aca="false">ROUND((T113*Özet!$C$14+U113*Özet!$C$15+V113*Özet!$C$16+W113*Özet!$C$17+X113*Özet!$C$18+Y113*Özet!$C$19)/5,4)</f>
        <v>0.53</v>
      </c>
      <c r="AA113" s="27" t="n">
        <f aca="false">RANK(AE113,$AE$5:$AE$126)+COUNTIF($AE$5:AE113,AE113)-1</f>
        <v>109</v>
      </c>
      <c r="AB113" s="28" t="str">
        <f aca="false">IF(AND(OR(G113="EN",G113="EN (+DE artı)"),Z113&gt;=0.7),"A – Hemen başvur (İngilizce)",IF(Z113&gt;=0.7,"B – Başvur (Almanca gerekli)",IF(AND(OR(G113="EN",G113="EN (+DE artı)"),Z113&gt;=0.6),"B – Başvur (İngilizce)","C – Opsiyonel")))</f>
        <v>C – Opsiyonel</v>
      </c>
      <c r="AC113" s="22" t="s">
        <v>356</v>
      </c>
      <c r="AD113" s="24" t="s">
        <v>1052</v>
      </c>
      <c r="AE113" s="29" t="n">
        <f aca="false">Z113+IF(OR(G113="EN",G113="EN (+DE artı)"),1,0)</f>
        <v>0.53</v>
      </c>
    </row>
    <row r="114" customFormat="false" ht="75" hidden="false" customHeight="true" outlineLevel="0" collapsed="false">
      <c r="A114" s="22" t="n">
        <v>110</v>
      </c>
      <c r="B114" s="22" t="s">
        <v>266</v>
      </c>
      <c r="C114" s="22" t="s">
        <v>1053</v>
      </c>
      <c r="D114" s="22" t="s">
        <v>1054</v>
      </c>
      <c r="E114" s="22" t="s">
        <v>116</v>
      </c>
      <c r="F114" s="22" t="s">
        <v>210</v>
      </c>
      <c r="G114" s="22" t="s">
        <v>47</v>
      </c>
      <c r="H114" s="22" t="s">
        <v>1055</v>
      </c>
      <c r="I114" s="22" t="s">
        <v>119</v>
      </c>
      <c r="J114" s="22" t="s">
        <v>212</v>
      </c>
      <c r="K114" s="22" t="s">
        <v>779</v>
      </c>
      <c r="L114" s="22" t="s">
        <v>182</v>
      </c>
      <c r="M114" s="22" t="s">
        <v>183</v>
      </c>
      <c r="N114" s="23" t="s">
        <v>1056</v>
      </c>
      <c r="O114" s="22" t="s">
        <v>125</v>
      </c>
      <c r="P114" s="22"/>
      <c r="Q114" s="22" t="s">
        <v>1057</v>
      </c>
      <c r="R114" s="22" t="s">
        <v>949</v>
      </c>
      <c r="S114" s="22" t="s">
        <v>1058</v>
      </c>
      <c r="T114" s="25" t="n">
        <v>2.5</v>
      </c>
      <c r="U114" s="25" t="n">
        <v>3</v>
      </c>
      <c r="V114" s="25" t="n">
        <v>1.5</v>
      </c>
      <c r="W114" s="25" t="n">
        <v>4</v>
      </c>
      <c r="X114" s="25" t="n">
        <v>5</v>
      </c>
      <c r="Y114" s="25" t="n">
        <v>3</v>
      </c>
      <c r="Z114" s="26" t="n">
        <f aca="false">ROUND((T114*Özet!$C$14+U114*Özet!$C$15+V114*Özet!$C$16+W114*Özet!$C$17+X114*Özet!$C$18+Y114*Özet!$C$19)/5,4)</f>
        <v>0.53</v>
      </c>
      <c r="AA114" s="27" t="n">
        <f aca="false">RANK(AE114,$AE$5:$AE$126)+COUNTIF($AE$5:AE114,AE114)-1</f>
        <v>110</v>
      </c>
      <c r="AB114" s="28" t="str">
        <f aca="false">IF(AND(OR(G114="EN",G114="EN (+DE artı)"),Z114&gt;=0.7),"A – Hemen başvur (İngilizce)",IF(Z114&gt;=0.7,"B – Başvur (Almanca gerekli)",IF(AND(OR(G114="EN",G114="EN (+DE artı)"),Z114&gt;=0.6),"B – Başvur (İngilizce)","C – Opsiyonel")))</f>
        <v>C – Opsiyonel</v>
      </c>
      <c r="AC114" s="22" t="s">
        <v>130</v>
      </c>
      <c r="AD114" s="24" t="s">
        <v>274</v>
      </c>
      <c r="AE114" s="29" t="n">
        <f aca="false">Z114+IF(OR(G114="EN",G114="EN (+DE artı)"),1,0)</f>
        <v>0.53</v>
      </c>
    </row>
    <row r="115" customFormat="false" ht="75" hidden="false" customHeight="true" outlineLevel="0" collapsed="false">
      <c r="A115" s="22" t="n">
        <v>111</v>
      </c>
      <c r="B115" s="22" t="s">
        <v>1059</v>
      </c>
      <c r="C115" s="22" t="s">
        <v>1060</v>
      </c>
      <c r="D115" s="22" t="s">
        <v>1061</v>
      </c>
      <c r="E115" s="22" t="s">
        <v>200</v>
      </c>
      <c r="F115" s="22" t="s">
        <v>117</v>
      </c>
      <c r="G115" s="22" t="s">
        <v>52</v>
      </c>
      <c r="H115" s="22" t="s">
        <v>1062</v>
      </c>
      <c r="I115" s="22" t="s">
        <v>119</v>
      </c>
      <c r="J115" s="22" t="s">
        <v>212</v>
      </c>
      <c r="K115" s="22" t="s">
        <v>136</v>
      </c>
      <c r="L115" s="22" t="s">
        <v>147</v>
      </c>
      <c r="M115" s="22" t="s">
        <v>138</v>
      </c>
      <c r="N115" s="23" t="s">
        <v>1063</v>
      </c>
      <c r="O115" s="22" t="s">
        <v>125</v>
      </c>
      <c r="P115" s="22"/>
      <c r="Q115" s="22" t="s">
        <v>1064</v>
      </c>
      <c r="R115" s="22" t="s">
        <v>1065</v>
      </c>
      <c r="S115" s="22" t="s">
        <v>331</v>
      </c>
      <c r="T115" s="25" t="n">
        <v>4</v>
      </c>
      <c r="U115" s="25" t="n">
        <v>3</v>
      </c>
      <c r="V115" s="25" t="n">
        <v>1</v>
      </c>
      <c r="W115" s="25" t="n">
        <v>3.5</v>
      </c>
      <c r="X115" s="25" t="n">
        <v>2</v>
      </c>
      <c r="Y115" s="25" t="n">
        <v>3</v>
      </c>
      <c r="Z115" s="26" t="n">
        <f aca="false">ROUND((T115*Özet!$C$14+U115*Özet!$C$15+V115*Özet!$C$16+W115*Özet!$C$17+X115*Özet!$C$18+Y115*Özet!$C$19)/5,4)</f>
        <v>0.525</v>
      </c>
      <c r="AA115" s="27" t="n">
        <f aca="false">RANK(AE115,$AE$5:$AE$126)+COUNTIF($AE$5:AE115,AE115)-1</f>
        <v>111</v>
      </c>
      <c r="AB115" s="28" t="str">
        <f aca="false">IF(AND(OR(G115="EN",G115="EN (+DE artı)"),Z115&gt;=0.7),"A – Hemen başvur (İngilizce)",IF(Z115&gt;=0.7,"B – Başvur (Almanca gerekli)",IF(AND(OR(G115="EN",G115="EN (+DE artı)"),Z115&gt;=0.6),"B – Başvur (İngilizce)","C – Opsiyonel")))</f>
        <v>C – Opsiyonel</v>
      </c>
      <c r="AC115" s="22" t="s">
        <v>356</v>
      </c>
      <c r="AD115" s="24" t="s">
        <v>1066</v>
      </c>
      <c r="AE115" s="29" t="n">
        <f aca="false">Z115+IF(OR(G115="EN",G115="EN (+DE artı)"),1,0)</f>
        <v>0.525</v>
      </c>
    </row>
    <row r="116" customFormat="false" ht="75" hidden="false" customHeight="true" outlineLevel="0" collapsed="false">
      <c r="A116" s="22" t="n">
        <v>112</v>
      </c>
      <c r="B116" s="22" t="s">
        <v>388</v>
      </c>
      <c r="C116" s="22" t="s">
        <v>1067</v>
      </c>
      <c r="D116" s="22" t="s">
        <v>390</v>
      </c>
      <c r="E116" s="22" t="s">
        <v>116</v>
      </c>
      <c r="F116" s="22" t="s">
        <v>1068</v>
      </c>
      <c r="G116" s="22" t="s">
        <v>52</v>
      </c>
      <c r="H116" s="22" t="s">
        <v>1069</v>
      </c>
      <c r="I116" s="22" t="s">
        <v>119</v>
      </c>
      <c r="J116" s="22" t="s">
        <v>232</v>
      </c>
      <c r="K116" s="22" t="s">
        <v>1070</v>
      </c>
      <c r="L116" s="22"/>
      <c r="M116" s="22" t="s">
        <v>598</v>
      </c>
      <c r="N116" s="23" t="s">
        <v>1071</v>
      </c>
      <c r="O116" s="22" t="s">
        <v>125</v>
      </c>
      <c r="P116" s="22"/>
      <c r="Q116" s="22" t="s">
        <v>1072</v>
      </c>
      <c r="R116" s="22" t="s">
        <v>1073</v>
      </c>
      <c r="S116" s="22" t="s">
        <v>1074</v>
      </c>
      <c r="T116" s="25" t="n">
        <v>2</v>
      </c>
      <c r="U116" s="25" t="n">
        <v>4</v>
      </c>
      <c r="V116" s="25" t="n">
        <v>1</v>
      </c>
      <c r="W116" s="25" t="n">
        <v>4</v>
      </c>
      <c r="X116" s="25" t="n">
        <v>5</v>
      </c>
      <c r="Y116" s="25" t="n">
        <v>4</v>
      </c>
      <c r="Z116" s="26" t="n">
        <f aca="false">ROUND((T116*Özet!$C$14+U116*Özet!$C$15+V116*Özet!$C$16+W116*Özet!$C$17+X116*Özet!$C$18+Y116*Özet!$C$19)/5,4)</f>
        <v>0.52</v>
      </c>
      <c r="AA116" s="27" t="n">
        <f aca="false">RANK(AE116,$AE$5:$AE$126)+COUNTIF($AE$5:AE116,AE116)-1</f>
        <v>112</v>
      </c>
      <c r="AB116" s="28" t="str">
        <f aca="false">IF(AND(OR(G116="EN",G116="EN (+DE artı)"),Z116&gt;=0.7),"A – Hemen başvur (İngilizce)",IF(Z116&gt;=0.7,"B – Başvur (Almanca gerekli)",IF(AND(OR(G116="EN",G116="EN (+DE artı)"),Z116&gt;=0.6),"B – Başvur (İngilizce)","C – Opsiyonel")))</f>
        <v>C – Opsiyonel</v>
      </c>
      <c r="AC116" s="22" t="s">
        <v>356</v>
      </c>
      <c r="AD116" s="24" t="s">
        <v>603</v>
      </c>
      <c r="AE116" s="29" t="n">
        <f aca="false">Z116+IF(OR(G116="EN",G116="EN (+DE artı)"),1,0)</f>
        <v>0.52</v>
      </c>
    </row>
    <row r="117" customFormat="false" ht="75" hidden="false" customHeight="true" outlineLevel="0" collapsed="false">
      <c r="A117" s="22" t="n">
        <v>113</v>
      </c>
      <c r="B117" s="22" t="s">
        <v>1075</v>
      </c>
      <c r="C117" s="22" t="s">
        <v>1076</v>
      </c>
      <c r="D117" s="22" t="s">
        <v>1077</v>
      </c>
      <c r="E117" s="22" t="s">
        <v>230</v>
      </c>
      <c r="F117" s="22" t="s">
        <v>682</v>
      </c>
      <c r="G117" s="22" t="s">
        <v>50</v>
      </c>
      <c r="H117" s="22" t="s">
        <v>277</v>
      </c>
      <c r="I117" s="22" t="s">
        <v>119</v>
      </c>
      <c r="J117" s="22" t="s">
        <v>232</v>
      </c>
      <c r="K117" s="22" t="s">
        <v>136</v>
      </c>
      <c r="L117" s="22" t="s">
        <v>182</v>
      </c>
      <c r="M117" s="22" t="s">
        <v>138</v>
      </c>
      <c r="N117" s="23" t="s">
        <v>1078</v>
      </c>
      <c r="O117" s="22" t="s">
        <v>149</v>
      </c>
      <c r="P117" s="22"/>
      <c r="Q117" s="22" t="s">
        <v>1079</v>
      </c>
      <c r="R117" s="22" t="s">
        <v>844</v>
      </c>
      <c r="S117" s="22" t="s">
        <v>1080</v>
      </c>
      <c r="T117" s="25" t="n">
        <v>2</v>
      </c>
      <c r="U117" s="25" t="n">
        <v>4</v>
      </c>
      <c r="V117" s="25" t="n">
        <v>1.5</v>
      </c>
      <c r="W117" s="25" t="n">
        <v>5</v>
      </c>
      <c r="X117" s="25" t="n">
        <v>4</v>
      </c>
      <c r="Y117" s="25" t="n">
        <v>3</v>
      </c>
      <c r="Z117" s="26" t="n">
        <f aca="false">ROUND((T117*Özet!$C$14+U117*Özet!$C$15+V117*Özet!$C$16+W117*Özet!$C$17+X117*Özet!$C$18+Y117*Özet!$C$19)/5,4)</f>
        <v>0.52</v>
      </c>
      <c r="AA117" s="27" t="n">
        <f aca="false">RANK(AE117,$AE$5:$AE$126)+COUNTIF($AE$5:AE117,AE117)-1</f>
        <v>113</v>
      </c>
      <c r="AB117" s="28" t="str">
        <f aca="false">IF(AND(OR(G117="EN",G117="EN (+DE artı)"),Z117&gt;=0.7),"A – Hemen başvur (İngilizce)",IF(Z117&gt;=0.7,"B – Başvur (Almanca gerekli)",IF(AND(OR(G117="EN",G117="EN (+DE artı)"),Z117&gt;=0.6),"B – Başvur (İngilizce)","C – Opsiyonel")))</f>
        <v>C – Opsiyonel</v>
      </c>
      <c r="AC117" s="22" t="s">
        <v>302</v>
      </c>
      <c r="AD117" s="24" t="s">
        <v>1081</v>
      </c>
      <c r="AE117" s="29" t="n">
        <f aca="false">Z117+IF(OR(G117="EN",G117="EN (+DE artı)"),1,0)</f>
        <v>0.52</v>
      </c>
    </row>
    <row r="118" customFormat="false" ht="75" hidden="false" customHeight="true" outlineLevel="0" collapsed="false">
      <c r="A118" s="22" t="n">
        <v>114</v>
      </c>
      <c r="B118" s="22" t="s">
        <v>623</v>
      </c>
      <c r="C118" s="22" t="s">
        <v>1082</v>
      </c>
      <c r="D118" s="22" t="s">
        <v>1083</v>
      </c>
      <c r="E118" s="22" t="s">
        <v>116</v>
      </c>
      <c r="F118" s="22" t="s">
        <v>1068</v>
      </c>
      <c r="G118" s="22" t="s">
        <v>52</v>
      </c>
      <c r="H118" s="22" t="s">
        <v>1084</v>
      </c>
      <c r="I118" s="22" t="s">
        <v>119</v>
      </c>
      <c r="J118" s="22" t="s">
        <v>120</v>
      </c>
      <c r="K118" s="22" t="s">
        <v>1085</v>
      </c>
      <c r="L118" s="22" t="s">
        <v>137</v>
      </c>
      <c r="M118" s="22" t="s">
        <v>138</v>
      </c>
      <c r="N118" s="23" t="s">
        <v>1086</v>
      </c>
      <c r="O118" s="22" t="s">
        <v>149</v>
      </c>
      <c r="P118" s="22"/>
      <c r="Q118" s="22" t="s">
        <v>1087</v>
      </c>
      <c r="R118" s="22" t="s">
        <v>1088</v>
      </c>
      <c r="S118" s="22" t="s">
        <v>630</v>
      </c>
      <c r="T118" s="25" t="n">
        <v>1.5</v>
      </c>
      <c r="U118" s="25" t="n">
        <v>4.5</v>
      </c>
      <c r="V118" s="25" t="n">
        <v>1</v>
      </c>
      <c r="W118" s="25" t="n">
        <v>4</v>
      </c>
      <c r="X118" s="25" t="n">
        <v>5</v>
      </c>
      <c r="Y118" s="25" t="n">
        <v>4.5</v>
      </c>
      <c r="Z118" s="26" t="n">
        <f aca="false">ROUND((T118*Özet!$C$14+U118*Özet!$C$15+V118*Özet!$C$16+W118*Özet!$C$17+X118*Özet!$C$18+Y118*Özet!$C$19)/5,4)</f>
        <v>0.515</v>
      </c>
      <c r="AA118" s="27" t="n">
        <f aca="false">RANK(AE118,$AE$5:$AE$126)+COUNTIF($AE$5:AE118,AE118)-1</f>
        <v>114</v>
      </c>
      <c r="AB118" s="28" t="str">
        <f aca="false">IF(AND(OR(G118="EN",G118="EN (+DE artı)"),Z118&gt;=0.7),"A – Hemen başvur (İngilizce)",IF(Z118&gt;=0.7,"B – Başvur (Almanca gerekli)",IF(AND(OR(G118="EN",G118="EN (+DE artı)"),Z118&gt;=0.6),"B – Başvur (İngilizce)","C – Opsiyonel")))</f>
        <v>C – Opsiyonel</v>
      </c>
      <c r="AC118" s="22" t="s">
        <v>356</v>
      </c>
      <c r="AD118" s="24" t="s">
        <v>631</v>
      </c>
      <c r="AE118" s="29" t="n">
        <f aca="false">Z118+IF(OR(G118="EN",G118="EN (+DE artı)"),1,0)</f>
        <v>0.515</v>
      </c>
    </row>
    <row r="119" customFormat="false" ht="75" hidden="false" customHeight="true" outlineLevel="0" collapsed="false">
      <c r="A119" s="22" t="n">
        <v>115</v>
      </c>
      <c r="B119" s="22" t="s">
        <v>912</v>
      </c>
      <c r="C119" s="22" t="s">
        <v>1089</v>
      </c>
      <c r="D119" s="22" t="s">
        <v>1090</v>
      </c>
      <c r="E119" s="22" t="s">
        <v>200</v>
      </c>
      <c r="F119" s="22" t="s">
        <v>682</v>
      </c>
      <c r="G119" s="22" t="s">
        <v>50</v>
      </c>
      <c r="H119" s="22" t="s">
        <v>277</v>
      </c>
      <c r="I119" s="22" t="s">
        <v>119</v>
      </c>
      <c r="J119" s="22" t="s">
        <v>232</v>
      </c>
      <c r="K119" s="22" t="s">
        <v>719</v>
      </c>
      <c r="L119" s="22" t="s">
        <v>147</v>
      </c>
      <c r="M119" s="22" t="s">
        <v>138</v>
      </c>
      <c r="N119" s="23" t="s">
        <v>1091</v>
      </c>
      <c r="O119" s="22" t="s">
        <v>125</v>
      </c>
      <c r="P119" s="22"/>
      <c r="Q119" s="22" t="s">
        <v>1092</v>
      </c>
      <c r="R119" s="22" t="s">
        <v>1093</v>
      </c>
      <c r="S119" s="22" t="s">
        <v>1094</v>
      </c>
      <c r="T119" s="25" t="n">
        <v>2.5</v>
      </c>
      <c r="U119" s="25" t="n">
        <v>4</v>
      </c>
      <c r="V119" s="25" t="n">
        <v>1.5</v>
      </c>
      <c r="W119" s="25" t="n">
        <v>4</v>
      </c>
      <c r="X119" s="25" t="n">
        <v>2</v>
      </c>
      <c r="Y119" s="25" t="n">
        <v>3.5</v>
      </c>
      <c r="Z119" s="26" t="n">
        <f aca="false">ROUND((T119*Özet!$C$14+U119*Özet!$C$15+V119*Özet!$C$16+W119*Özet!$C$17+X119*Özet!$C$18+Y119*Özet!$C$19)/5,4)</f>
        <v>0.51</v>
      </c>
      <c r="AA119" s="27" t="n">
        <f aca="false">RANK(AE119,$AE$5:$AE$126)+COUNTIF($AE$5:AE119,AE119)-1</f>
        <v>115</v>
      </c>
      <c r="AB119" s="28" t="str">
        <f aca="false">IF(AND(OR(G119="EN",G119="EN (+DE artı)"),Z119&gt;=0.7),"A – Hemen başvur (İngilizce)",IF(Z119&gt;=0.7,"B – Başvur (Almanca gerekli)",IF(AND(OR(G119="EN",G119="EN (+DE artı)"),Z119&gt;=0.6),"B – Başvur (İngilizce)","C – Opsiyonel")))</f>
        <v>C – Opsiyonel</v>
      </c>
      <c r="AC119" s="22" t="s">
        <v>302</v>
      </c>
      <c r="AD119" s="24" t="s">
        <v>921</v>
      </c>
      <c r="AE119" s="29" t="n">
        <f aca="false">Z119+IF(OR(G119="EN",G119="EN (+DE artı)"),1,0)</f>
        <v>0.51</v>
      </c>
    </row>
    <row r="120" customFormat="false" ht="75" hidden="false" customHeight="true" outlineLevel="0" collapsed="false">
      <c r="A120" s="22" t="n">
        <v>116</v>
      </c>
      <c r="B120" s="22" t="s">
        <v>1095</v>
      </c>
      <c r="C120" s="22" t="s">
        <v>1096</v>
      </c>
      <c r="D120" s="22" t="s">
        <v>914</v>
      </c>
      <c r="E120" s="22" t="s">
        <v>200</v>
      </c>
      <c r="F120" s="22" t="s">
        <v>223</v>
      </c>
      <c r="G120" s="22" t="s">
        <v>50</v>
      </c>
      <c r="H120" s="22" t="s">
        <v>277</v>
      </c>
      <c r="I120" s="22" t="s">
        <v>119</v>
      </c>
      <c r="J120" s="22" t="s">
        <v>232</v>
      </c>
      <c r="K120" s="22" t="s">
        <v>1097</v>
      </c>
      <c r="L120" s="22" t="s">
        <v>214</v>
      </c>
      <c r="M120" s="22" t="s">
        <v>138</v>
      </c>
      <c r="N120" s="23" t="s">
        <v>1098</v>
      </c>
      <c r="O120" s="22" t="s">
        <v>125</v>
      </c>
      <c r="P120" s="22"/>
      <c r="Q120" s="22" t="s">
        <v>1099</v>
      </c>
      <c r="R120" s="22" t="s">
        <v>1100</v>
      </c>
      <c r="S120" s="22" t="s">
        <v>1101</v>
      </c>
      <c r="T120" s="25" t="n">
        <v>2.5</v>
      </c>
      <c r="U120" s="25" t="n">
        <v>4</v>
      </c>
      <c r="V120" s="25" t="n">
        <v>1.5</v>
      </c>
      <c r="W120" s="25" t="n">
        <v>3.5</v>
      </c>
      <c r="X120" s="25" t="n">
        <v>2</v>
      </c>
      <c r="Y120" s="25" t="n">
        <v>3.5</v>
      </c>
      <c r="Z120" s="26" t="n">
        <f aca="false">ROUND((T120*Özet!$C$14+U120*Özet!$C$15+V120*Özet!$C$16+W120*Özet!$C$17+X120*Özet!$C$18+Y120*Özet!$C$19)/5,4)</f>
        <v>0.505</v>
      </c>
      <c r="AA120" s="27" t="n">
        <f aca="false">RANK(AE120,$AE$5:$AE$126)+COUNTIF($AE$5:AE120,AE120)-1</f>
        <v>116</v>
      </c>
      <c r="AB120" s="28" t="str">
        <f aca="false">IF(AND(OR(G120="EN",G120="EN (+DE artı)"),Z120&gt;=0.7),"A – Hemen başvur (İngilizce)",IF(Z120&gt;=0.7,"B – Başvur (Almanca gerekli)",IF(AND(OR(G120="EN",G120="EN (+DE artı)"),Z120&gt;=0.6),"B – Başvur (İngilizce)","C – Opsiyonel")))</f>
        <v>C – Opsiyonel</v>
      </c>
      <c r="AC120" s="22" t="s">
        <v>1102</v>
      </c>
      <c r="AD120" s="24" t="s">
        <v>1103</v>
      </c>
      <c r="AE120" s="29" t="n">
        <f aca="false">Z120+IF(OR(G120="EN",G120="EN (+DE artı)"),1,0)</f>
        <v>0.505</v>
      </c>
    </row>
    <row r="121" customFormat="false" ht="75" hidden="false" customHeight="true" outlineLevel="0" collapsed="false">
      <c r="A121" s="22" t="n">
        <v>117</v>
      </c>
      <c r="B121" s="22" t="s">
        <v>1104</v>
      </c>
      <c r="C121" s="22" t="s">
        <v>1105</v>
      </c>
      <c r="D121" s="22" t="s">
        <v>1106</v>
      </c>
      <c r="E121" s="22" t="s">
        <v>116</v>
      </c>
      <c r="F121" s="22" t="s">
        <v>1068</v>
      </c>
      <c r="G121" s="22" t="s">
        <v>50</v>
      </c>
      <c r="H121" s="22" t="s">
        <v>277</v>
      </c>
      <c r="I121" s="22" t="s">
        <v>119</v>
      </c>
      <c r="J121" s="22" t="s">
        <v>120</v>
      </c>
      <c r="K121" s="22" t="s">
        <v>878</v>
      </c>
      <c r="L121" s="22" t="s">
        <v>260</v>
      </c>
      <c r="M121" s="22" t="s">
        <v>138</v>
      </c>
      <c r="N121" s="23" t="s">
        <v>1107</v>
      </c>
      <c r="O121" s="22" t="s">
        <v>149</v>
      </c>
      <c r="P121" s="22"/>
      <c r="Q121" s="22" t="s">
        <v>1108</v>
      </c>
      <c r="R121" s="22" t="s">
        <v>1109</v>
      </c>
      <c r="S121" s="22" t="s">
        <v>1110</v>
      </c>
      <c r="T121" s="25" t="n">
        <v>1</v>
      </c>
      <c r="U121" s="25" t="n">
        <v>4.5</v>
      </c>
      <c r="V121" s="25" t="n">
        <v>1.5</v>
      </c>
      <c r="W121" s="25" t="n">
        <v>4</v>
      </c>
      <c r="X121" s="25" t="n">
        <v>5</v>
      </c>
      <c r="Y121" s="25" t="n">
        <v>4</v>
      </c>
      <c r="Z121" s="26" t="n">
        <f aca="false">ROUND((T121*Özet!$C$14+U121*Özet!$C$15+V121*Özet!$C$16+W121*Özet!$C$17+X121*Özet!$C$18+Y121*Özet!$C$19)/5,4)</f>
        <v>0.505</v>
      </c>
      <c r="AA121" s="27" t="n">
        <f aca="false">RANK(AE121,$AE$5:$AE$126)+COUNTIF($AE$5:AE121,AE121)-1</f>
        <v>117</v>
      </c>
      <c r="AB121" s="28" t="str">
        <f aca="false">IF(AND(OR(G121="EN",G121="EN (+DE artı)"),Z121&gt;=0.7),"A – Hemen başvur (İngilizce)",IF(Z121&gt;=0.7,"B – Başvur (Almanca gerekli)",IF(AND(OR(G121="EN",G121="EN (+DE artı)"),Z121&gt;=0.6),"B – Başvur (İngilizce)","C – Opsiyonel")))</f>
        <v>C – Opsiyonel</v>
      </c>
      <c r="AC121" s="22" t="s">
        <v>1111</v>
      </c>
      <c r="AD121" s="24" t="s">
        <v>1112</v>
      </c>
      <c r="AE121" s="29" t="n">
        <f aca="false">Z121+IF(OR(G121="EN",G121="EN (+DE artı)"),1,0)</f>
        <v>0.505</v>
      </c>
    </row>
    <row r="122" customFormat="false" ht="75" hidden="false" customHeight="true" outlineLevel="0" collapsed="false">
      <c r="A122" s="22" t="n">
        <v>118</v>
      </c>
      <c r="B122" s="22" t="s">
        <v>1113</v>
      </c>
      <c r="C122" s="22" t="s">
        <v>1114</v>
      </c>
      <c r="D122" s="22" t="s">
        <v>1115</v>
      </c>
      <c r="E122" s="22" t="s">
        <v>200</v>
      </c>
      <c r="F122" s="22" t="s">
        <v>682</v>
      </c>
      <c r="G122" s="22" t="s">
        <v>44</v>
      </c>
      <c r="H122" s="22" t="s">
        <v>1116</v>
      </c>
      <c r="I122" s="22" t="s">
        <v>119</v>
      </c>
      <c r="J122" s="22" t="s">
        <v>232</v>
      </c>
      <c r="K122" s="22" t="s">
        <v>1117</v>
      </c>
      <c r="L122" s="22" t="s">
        <v>214</v>
      </c>
      <c r="M122" s="22" t="s">
        <v>138</v>
      </c>
      <c r="N122" s="23" t="s">
        <v>1118</v>
      </c>
      <c r="O122" s="22" t="s">
        <v>125</v>
      </c>
      <c r="P122" s="22"/>
      <c r="Q122" s="22" t="s">
        <v>1119</v>
      </c>
      <c r="R122" s="22" t="s">
        <v>910</v>
      </c>
      <c r="S122" s="22" t="s">
        <v>1120</v>
      </c>
      <c r="T122" s="25" t="n">
        <v>1.5</v>
      </c>
      <c r="U122" s="25" t="n">
        <v>4</v>
      </c>
      <c r="V122" s="25" t="n">
        <v>2</v>
      </c>
      <c r="W122" s="25" t="n">
        <v>4</v>
      </c>
      <c r="X122" s="25" t="n">
        <v>2</v>
      </c>
      <c r="Y122" s="25" t="n">
        <v>4.5</v>
      </c>
      <c r="Z122" s="26" t="n">
        <f aca="false">ROUND((T122*Özet!$C$14+U122*Özet!$C$15+V122*Özet!$C$16+W122*Özet!$C$17+X122*Özet!$C$18+Y122*Özet!$C$19)/5,4)</f>
        <v>0.5</v>
      </c>
      <c r="AA122" s="27" t="n">
        <f aca="false">RANK(AE122,$AE$5:$AE$126)+COUNTIF($AE$5:AE122,AE122)-1</f>
        <v>118</v>
      </c>
      <c r="AB122" s="28" t="str">
        <f aca="false">IF(AND(OR(G122="EN",G122="EN (+DE artı)"),Z122&gt;=0.7),"A – Hemen başvur (İngilizce)",IF(Z122&gt;=0.7,"B – Başvur (Almanca gerekli)",IF(AND(OR(G122="EN",G122="EN (+DE artı)"),Z122&gt;=0.6),"B – Başvur (İngilizce)","C – Opsiyonel")))</f>
        <v>C – Opsiyonel</v>
      </c>
      <c r="AC122" s="22" t="s">
        <v>804</v>
      </c>
      <c r="AD122" s="24" t="s">
        <v>1121</v>
      </c>
      <c r="AE122" s="29" t="n">
        <f aca="false">Z122+IF(OR(G122="EN",G122="EN (+DE artı)"),1,0)</f>
        <v>0.5</v>
      </c>
    </row>
    <row r="123" customFormat="false" ht="75" hidden="false" customHeight="true" outlineLevel="0" collapsed="false">
      <c r="A123" s="22" t="n">
        <v>119</v>
      </c>
      <c r="B123" s="22" t="s">
        <v>1122</v>
      </c>
      <c r="C123" s="22" t="s">
        <v>1123</v>
      </c>
      <c r="D123" s="22" t="s">
        <v>390</v>
      </c>
      <c r="E123" s="22" t="s">
        <v>116</v>
      </c>
      <c r="F123" s="22" t="s">
        <v>223</v>
      </c>
      <c r="G123" s="22" t="s">
        <v>52</v>
      </c>
      <c r="H123" s="22" t="s">
        <v>1124</v>
      </c>
      <c r="I123" s="22" t="s">
        <v>119</v>
      </c>
      <c r="J123" s="22" t="s">
        <v>232</v>
      </c>
      <c r="K123" s="22" t="s">
        <v>1125</v>
      </c>
      <c r="L123" s="22" t="s">
        <v>260</v>
      </c>
      <c r="M123" s="22" t="s">
        <v>138</v>
      </c>
      <c r="N123" s="23" t="s">
        <v>1126</v>
      </c>
      <c r="O123" s="22" t="s">
        <v>125</v>
      </c>
      <c r="P123" s="22"/>
      <c r="Q123" s="22" t="s">
        <v>1127</v>
      </c>
      <c r="R123" s="22" t="s">
        <v>1128</v>
      </c>
      <c r="S123" s="22" t="s">
        <v>1129</v>
      </c>
      <c r="T123" s="25" t="n">
        <v>1.5</v>
      </c>
      <c r="U123" s="25" t="n">
        <v>4</v>
      </c>
      <c r="V123" s="25" t="n">
        <v>1</v>
      </c>
      <c r="W123" s="25" t="n">
        <v>4</v>
      </c>
      <c r="X123" s="25" t="n">
        <v>5</v>
      </c>
      <c r="Y123" s="25" t="n">
        <v>4</v>
      </c>
      <c r="Z123" s="26" t="n">
        <f aca="false">ROUND((T123*Özet!$C$14+U123*Özet!$C$15+V123*Özet!$C$16+W123*Özet!$C$17+X123*Özet!$C$18+Y123*Özet!$C$19)/5,4)</f>
        <v>0.49</v>
      </c>
      <c r="AA123" s="27" t="n">
        <f aca="false">RANK(AE123,$AE$5:$AE$126)+COUNTIF($AE$5:AE123,AE123)-1</f>
        <v>119</v>
      </c>
      <c r="AB123" s="28" t="str">
        <f aca="false">IF(AND(OR(G123="EN",G123="EN (+DE artı)"),Z123&gt;=0.7),"A – Hemen başvur (İngilizce)",IF(Z123&gt;=0.7,"B – Başvur (Almanca gerekli)",IF(AND(OR(G123="EN",G123="EN (+DE artı)"),Z123&gt;=0.6),"B – Başvur (İngilizce)","C – Opsiyonel")))</f>
        <v>C – Opsiyonel</v>
      </c>
      <c r="AC123" s="22" t="s">
        <v>356</v>
      </c>
      <c r="AD123" s="24" t="s">
        <v>1130</v>
      </c>
      <c r="AE123" s="29" t="n">
        <f aca="false">Z123+IF(OR(G123="EN",G123="EN (+DE artı)"),1,0)</f>
        <v>0.49</v>
      </c>
    </row>
    <row r="124" customFormat="false" ht="75" hidden="false" customHeight="true" outlineLevel="0" collapsed="false">
      <c r="A124" s="22" t="n">
        <v>120</v>
      </c>
      <c r="B124" s="22" t="s">
        <v>660</v>
      </c>
      <c r="C124" s="22" t="s">
        <v>1131</v>
      </c>
      <c r="D124" s="22" t="s">
        <v>662</v>
      </c>
      <c r="E124" s="22" t="s">
        <v>381</v>
      </c>
      <c r="F124" s="22" t="s">
        <v>682</v>
      </c>
      <c r="G124" s="22" t="s">
        <v>44</v>
      </c>
      <c r="H124" s="22" t="s">
        <v>1132</v>
      </c>
      <c r="I124" s="22" t="s">
        <v>119</v>
      </c>
      <c r="J124" s="22" t="s">
        <v>232</v>
      </c>
      <c r="K124" s="22" t="s">
        <v>1133</v>
      </c>
      <c r="L124" s="22" t="s">
        <v>137</v>
      </c>
      <c r="M124" s="22" t="s">
        <v>138</v>
      </c>
      <c r="N124" s="23" t="s">
        <v>1134</v>
      </c>
      <c r="O124" s="22" t="s">
        <v>125</v>
      </c>
      <c r="P124" s="22"/>
      <c r="Q124" s="22" t="s">
        <v>1135</v>
      </c>
      <c r="R124" s="22" t="s">
        <v>1065</v>
      </c>
      <c r="S124" s="22" t="s">
        <v>1136</v>
      </c>
      <c r="T124" s="25" t="n">
        <v>1</v>
      </c>
      <c r="U124" s="25" t="n">
        <v>4</v>
      </c>
      <c r="V124" s="25" t="n">
        <v>2</v>
      </c>
      <c r="W124" s="25" t="n">
        <v>4</v>
      </c>
      <c r="X124" s="25" t="n">
        <v>3</v>
      </c>
      <c r="Y124" s="25" t="n">
        <v>3.5</v>
      </c>
      <c r="Z124" s="26" t="n">
        <f aca="false">ROUND((T124*Özet!$C$14+U124*Özet!$C$15+V124*Özet!$C$16+W124*Özet!$C$17+X124*Özet!$C$18+Y124*Özet!$C$19)/5,4)</f>
        <v>0.47</v>
      </c>
      <c r="AA124" s="27" t="n">
        <f aca="false">RANK(AE124,$AE$5:$AE$126)+COUNTIF($AE$5:AE124,AE124)-1</f>
        <v>120</v>
      </c>
      <c r="AB124" s="28" t="str">
        <f aca="false">IF(AND(OR(G124="EN",G124="EN (+DE artı)"),Z124&gt;=0.7),"A – Hemen başvur (İngilizce)",IF(Z124&gt;=0.7,"B – Başvur (Almanca gerekli)",IF(AND(OR(G124="EN",G124="EN (+DE artı)"),Z124&gt;=0.6),"B – Başvur (İngilizce)","C – Opsiyonel")))</f>
        <v>C – Opsiyonel</v>
      </c>
      <c r="AC124" s="22" t="s">
        <v>312</v>
      </c>
      <c r="AD124" s="24" t="s">
        <v>668</v>
      </c>
      <c r="AE124" s="29" t="n">
        <f aca="false">Z124+IF(OR(G124="EN",G124="EN (+DE artı)"),1,0)</f>
        <v>0.47</v>
      </c>
    </row>
    <row r="125" customFormat="false" ht="75" hidden="false" customHeight="true" outlineLevel="0" collapsed="false">
      <c r="A125" s="22" t="n">
        <v>121</v>
      </c>
      <c r="B125" s="22" t="s">
        <v>1137</v>
      </c>
      <c r="C125" s="22" t="s">
        <v>1138</v>
      </c>
      <c r="D125" s="22" t="s">
        <v>1139</v>
      </c>
      <c r="E125" s="22" t="s">
        <v>116</v>
      </c>
      <c r="F125" s="22" t="s">
        <v>1068</v>
      </c>
      <c r="G125" s="22" t="s">
        <v>50</v>
      </c>
      <c r="H125" s="22" t="s">
        <v>277</v>
      </c>
      <c r="I125" s="22" t="s">
        <v>119</v>
      </c>
      <c r="J125" s="22" t="s">
        <v>232</v>
      </c>
      <c r="K125" s="22" t="s">
        <v>1140</v>
      </c>
      <c r="L125" s="22" t="s">
        <v>339</v>
      </c>
      <c r="M125" s="22" t="s">
        <v>138</v>
      </c>
      <c r="N125" s="23" t="s">
        <v>1141</v>
      </c>
      <c r="O125" s="22" t="s">
        <v>149</v>
      </c>
      <c r="P125" s="22"/>
      <c r="Q125" s="22" t="s">
        <v>1142</v>
      </c>
      <c r="R125" s="22" t="s">
        <v>1143</v>
      </c>
      <c r="S125" s="22" t="s">
        <v>1144</v>
      </c>
      <c r="T125" s="25" t="n">
        <v>1</v>
      </c>
      <c r="U125" s="25" t="n">
        <v>4</v>
      </c>
      <c r="V125" s="25" t="n">
        <v>1.5</v>
      </c>
      <c r="W125" s="25" t="n">
        <v>4</v>
      </c>
      <c r="X125" s="25" t="n">
        <v>5</v>
      </c>
      <c r="Y125" s="25" t="n">
        <v>3</v>
      </c>
      <c r="Z125" s="26" t="n">
        <f aca="false">ROUND((T125*Özet!$C$14+U125*Özet!$C$15+V125*Özet!$C$16+W125*Özet!$C$17+X125*Özet!$C$18+Y125*Özet!$C$19)/5,4)</f>
        <v>0.47</v>
      </c>
      <c r="AA125" s="27" t="n">
        <f aca="false">RANK(AE125,$AE$5:$AE$126)+COUNTIF($AE$5:AE125,AE125)-1</f>
        <v>121</v>
      </c>
      <c r="AB125" s="28" t="str">
        <f aca="false">IF(AND(OR(G125="EN",G125="EN (+DE artı)"),Z125&gt;=0.7),"A – Hemen başvur (İngilizce)",IF(Z125&gt;=0.7,"B – Başvur (Almanca gerekli)",IF(AND(OR(G125="EN",G125="EN (+DE artı)"),Z125&gt;=0.6),"B – Başvur (İngilizce)","C – Opsiyonel")))</f>
        <v>C – Opsiyonel</v>
      </c>
      <c r="AC125" s="22" t="s">
        <v>302</v>
      </c>
      <c r="AD125" s="24" t="s">
        <v>1145</v>
      </c>
      <c r="AE125" s="29" t="n">
        <f aca="false">Z125+IF(OR(G125="EN",G125="EN (+DE artı)"),1,0)</f>
        <v>0.47</v>
      </c>
    </row>
    <row r="126" customFormat="false" ht="75" hidden="false" customHeight="true" outlineLevel="0" collapsed="false">
      <c r="A126" s="22" t="n">
        <v>122</v>
      </c>
      <c r="B126" s="22" t="s">
        <v>1146</v>
      </c>
      <c r="C126" s="22" t="s">
        <v>1147</v>
      </c>
      <c r="D126" s="22" t="s">
        <v>1148</v>
      </c>
      <c r="E126" s="22" t="s">
        <v>116</v>
      </c>
      <c r="F126" s="22" t="s">
        <v>1068</v>
      </c>
      <c r="G126" s="22" t="s">
        <v>52</v>
      </c>
      <c r="H126" s="22" t="s">
        <v>1149</v>
      </c>
      <c r="I126" s="22" t="s">
        <v>119</v>
      </c>
      <c r="J126" s="22" t="s">
        <v>232</v>
      </c>
      <c r="K126" s="22" t="s">
        <v>1150</v>
      </c>
      <c r="L126" s="22" t="s">
        <v>155</v>
      </c>
      <c r="M126" s="22" t="s">
        <v>138</v>
      </c>
      <c r="N126" s="23" t="s">
        <v>1151</v>
      </c>
      <c r="O126" s="22" t="s">
        <v>149</v>
      </c>
      <c r="P126" s="24" t="s">
        <v>1152</v>
      </c>
      <c r="Q126" s="22" t="s">
        <v>1153</v>
      </c>
      <c r="R126" s="22" t="s">
        <v>910</v>
      </c>
      <c r="S126" s="22" t="s">
        <v>1154</v>
      </c>
      <c r="T126" s="25" t="n">
        <v>1</v>
      </c>
      <c r="U126" s="25" t="n">
        <v>4</v>
      </c>
      <c r="V126" s="25" t="n">
        <v>1</v>
      </c>
      <c r="W126" s="25" t="n">
        <v>3.5</v>
      </c>
      <c r="X126" s="25" t="n">
        <v>5</v>
      </c>
      <c r="Y126" s="25" t="n">
        <v>4.5</v>
      </c>
      <c r="Z126" s="26" t="n">
        <f aca="false">ROUND((T126*Özet!$C$14+U126*Özet!$C$15+V126*Özet!$C$16+W126*Özet!$C$17+X126*Özet!$C$18+Y126*Özet!$C$19)/5,4)</f>
        <v>0.465</v>
      </c>
      <c r="AA126" s="27" t="n">
        <f aca="false">RANK(AE126,$AE$5:$AE$126)+COUNTIF($AE$5:AE126,AE126)-1</f>
        <v>122</v>
      </c>
      <c r="AB126" s="28" t="str">
        <f aca="false">IF(AND(OR(G126="EN",G126="EN (+DE artı)"),Z126&gt;=0.7),"A – Hemen başvur (İngilizce)",IF(Z126&gt;=0.7,"B – Başvur (Almanca gerekli)",IF(AND(OR(G126="EN",G126="EN (+DE artı)"),Z126&gt;=0.6),"B – Başvur (İngilizce)","C – Opsiyonel")))</f>
        <v>C – Opsiyonel</v>
      </c>
      <c r="AC126" s="22" t="s">
        <v>356</v>
      </c>
      <c r="AD126" s="24" t="s">
        <v>1155</v>
      </c>
      <c r="AE126" s="29" t="n">
        <f aca="false">Z126+IF(OR(G126="EN",G126="EN (+DE artı)"),1,0)</f>
        <v>0.465</v>
      </c>
    </row>
  </sheetData>
  <autoFilter ref="A4:AE126"/>
  <mergeCells count="1">
    <mergeCell ref="T3:Y3"/>
  </mergeCells>
  <conditionalFormatting sqref="Z5:Z126">
    <cfRule type="colorScale" priority="2">
      <colorScale>
        <cfvo type="num" val="0.5"/>
        <cfvo type="num" val="0.7"/>
        <cfvo type="num" val="0.9"/>
        <color rgb="FFF8696B"/>
        <color rgb="FFFFEB84"/>
        <color rgb="FF63BE7B"/>
      </colorScale>
    </cfRule>
  </conditionalFormatting>
  <conditionalFormatting sqref="AB5:AB126">
    <cfRule type="expression" priority="3" aboveAverage="0" equalAverage="0" bottom="0" percent="0" rank="0" text="" dxfId="68">
      <formula>LEFT(AB5,1)="A"</formula>
    </cfRule>
    <cfRule type="expression" priority="4" aboveAverage="0" equalAverage="0" bottom="0" percent="0" rank="0" text="" dxfId="69">
      <formula>LEFT(AB5,1)="B"</formula>
    </cfRule>
    <cfRule type="expression" priority="5" aboveAverage="0" equalAverage="0" bottom="0" percent="0" rank="0" text="" dxfId="70">
      <formula>LEFT(AB5,1)="C"</formula>
    </cfRule>
  </conditionalFormatting>
  <conditionalFormatting sqref="G5:G126">
    <cfRule type="expression" priority="6" aboveAverage="0" equalAverage="0" bottom="0" percent="0" rank="0" text="" dxfId="71">
      <formula>G5="EN"</formula>
    </cfRule>
    <cfRule type="expression" priority="7" aboveAverage="0" equalAverage="0" bottom="0" percent="0" rank="0" text="" dxfId="72">
      <formula>G5="EN (+DE artı)"</formula>
    </cfRule>
    <cfRule type="expression" priority="8" aboveAverage="0" equalAverage="0" bottom="0" percent="0" rank="0" text="" dxfId="68">
      <formula>G5="EN+DE"</formula>
    </cfRule>
    <cfRule type="expression" priority="9" aboveAverage="0" equalAverage="0" bottom="0" percent="0" rank="0" text="" dxfId="73">
      <formula>G5="DE+EN"</formula>
    </cfRule>
    <cfRule type="expression" priority="10" aboveAverage="0" equalAverage="0" bottom="0" percent="0" rank="0" text="" dxfId="74">
      <formula>G5="EN+DE (akıcı DE)"</formula>
    </cfRule>
    <cfRule type="expression" priority="11" aboveAverage="0" equalAverage="0" bottom="0" percent="0" rank="0" text="" dxfId="75">
      <formula>G5="DE"</formula>
    </cfRule>
    <cfRule type="expression" priority="12" aboveAverage="0" equalAverage="0" bottom="0" percent="0" rank="0" text="" dxfId="76">
      <formula>G5="DE C1"</formula>
    </cfRule>
  </conditionalFormatting>
  <conditionalFormatting sqref="F5:F126">
    <cfRule type="expression" priority="13" aboveAverage="0" equalAverage="0" bottom="0" percent="0" rank="0" text="" dxfId="77">
      <formula>LEFT(F5,5)="Cyber"</formula>
    </cfRule>
  </conditionalFormatting>
  <hyperlinks>
    <hyperlink ref="N5" r:id="rId2" display="https://jobs.redbull.com/at-de/it-sales-applications-project-manager-ref33553h"/>
    <hyperlink ref="P5" r:id="rId3" display="https://www.karriere.at/jobs/7867234"/>
    <hyperlink ref="AD5" r:id="rId4" display="https://www.karriere.at/f/red-bull"/>
    <hyperlink ref="N6" r:id="rId5" display="https://www.karriere.at/jobs/7854275"/>
    <hyperlink ref="P6" r:id="rId6" display="https://www.linkedin.com/jobs/view/4446017342"/>
    <hyperlink ref="AD6" r:id="rId7" display="https://www.karriere.at/f/skidata"/>
    <hyperlink ref="N7" r:id="rId8" display="https://jobs.redbull.com/at-de/it-project-manager-legal-solutions-ref33927j"/>
    <hyperlink ref="P7" r:id="rId9" display="https://www.karriere.at/jobs/7875472&#10;https://www.linkedin.com/jobs/view/4466092730&#10;https://www.linkedin.com/jobs/view/4472017663"/>
    <hyperlink ref="AD7" r:id="rId10" display="https://www.karriere.at/f/red-bull"/>
    <hyperlink ref="N8" r:id="rId11" display="https://jobs.redbull.com/at-de/project-manager-portfolio-management-ref34093e"/>
    <hyperlink ref="P8" r:id="rId12" display="https://www.karriere.at/jobs/7878376&#10;https://www.linkedin.com/jobs/view/4468809516"/>
    <hyperlink ref="AD8" r:id="rId13" display="https://www.karriere.at/f/red-bull"/>
    <hyperlink ref="N9" r:id="rId14" display="https://jobs.redbull.com/at-de/application-security-service-manager-ref33475n"/>
    <hyperlink ref="P9" r:id="rId15" display="https://www.karriere.at/jobs/7865764&#10;https://www.linkedin.com/jobs/view/4459310475"/>
    <hyperlink ref="AD9" r:id="rId16" display="https://www.karriere.at/f/red-bull"/>
    <hyperlink ref="N10" r:id="rId17" display="https://jobs.redbull.com/at-de/elsbethen-it-manager-global-field-sales-applications-ref31287p"/>
    <hyperlink ref="P10" r:id="rId18" display="https://www.karriere.at/jobs/7879372"/>
    <hyperlink ref="AD10" r:id="rId19" display="https://www.karriere.at/f/red-bull"/>
    <hyperlink ref="N11" r:id="rId20" display="https://www.linkedin.com/jobs/view/4470334048"/>
    <hyperlink ref="AD11" r:id="rId21" display="https://www.linkedin.com/company/transunion"/>
    <hyperlink ref="N12" r:id="rId22" display="https://jobs.redbull.com/at-de/elsbethen-it-project-application-manager-production-application--ref26935q"/>
    <hyperlink ref="P12" r:id="rId23" display="https://www.karriere.at/jobs/7709477&#10;https://www.linkedin.com/jobs/view/4342957903"/>
    <hyperlink ref="AD12" r:id="rId24" display="https://www.karriere.at/f/red-bull"/>
    <hyperlink ref="N13" r:id="rId25" display="https://www.linkedin.com/jobs/view/4438189985"/>
    <hyperlink ref="AD13" r:id="rId26" display="https://fi.linkedin.com/company/amer-sports"/>
    <hyperlink ref="N14" r:id="rId27" display="https://www.karriere.at/jobs/7869100"/>
    <hyperlink ref="P14" r:id="rId28" display="https://www.karriere.at/jobs/7881199"/>
    <hyperlink ref="AD14" r:id="rId29" display="https://www.karriere.at/f/epunkt-linz"/>
    <hyperlink ref="N15" r:id="rId30" display="https://www.linkedin.com/jobs/view/4430598895"/>
    <hyperlink ref="AD15" r:id="rId31" display="https://www.linkedin.com/company/transunion"/>
    <hyperlink ref="N16" r:id="rId32" display="https://jobs.redbull.com/at-de/it-infrastructure-data-platform-engineer-ref33287a"/>
    <hyperlink ref="P16" r:id="rId33" display="https://www.karriere.at/jobs/7861804&#10;https://www.linkedin.com/jobs/view/4455736906&#10;https://www.linkedin.com/jobs/view/4455733965"/>
    <hyperlink ref="AD16" r:id="rId34" display="https://www.karriere.at/f/red-bull"/>
    <hyperlink ref="N17" r:id="rId35" display="https://jobs.redbull.com/at-de/elsbethen-it-project-manager-sales-applications--ref31123e"/>
    <hyperlink ref="P17" r:id="rId36" display="https://www.karriere.at/jobs/7871212"/>
    <hyperlink ref="AD17" r:id="rId37" display="https://www.karriere.at/f/red-bull"/>
    <hyperlink ref="N18" r:id="rId38" display="https://www.linkedin.com/jobs/view/4461705351"/>
    <hyperlink ref="AD18" r:id="rId39" display="https://at.linkedin.com/company/palfinger"/>
    <hyperlink ref="N19" r:id="rId40" display="https://www.linkedin.com/jobs/view/4459659551"/>
    <hyperlink ref="AD19" r:id="rId41" display="https://www.linkedin.com/company/aptean"/>
    <hyperlink ref="N20" r:id="rId42" display="https://www.linkedin.com/jobs/view/4440762411"/>
    <hyperlink ref="AD20" r:id="rId43" display="https://at.linkedin.com/company/skidata-ag"/>
    <hyperlink ref="N21" r:id="rId44" display="https://www.linkedin.com/jobs/view/4462230078"/>
    <hyperlink ref="AD21" r:id="rId45" display="https://at.linkedin.com/company/rehrl-partner-personalberatung-gmbh"/>
    <hyperlink ref="N22" r:id="rId46" display="https://www.karriere.at/jobs/7829969"/>
    <hyperlink ref="AD22" r:id="rId47" display="https://www.karriere.at/f/kern-engineering-careers"/>
    <hyperlink ref="N23" r:id="rId48" display="https://www.karriere.at/jobs/10033426"/>
    <hyperlink ref="AD23" r:id="rId49" display="https://www.karriere.at/f/salzburger-abfallbeseitigung"/>
    <hyperlink ref="N24" r:id="rId50" display="https://www.linkedin.com/jobs/view/4461881030"/>
    <hyperlink ref="AD24" r:id="rId51" display="https://de.linkedin.com/company/xenium-ag"/>
    <hyperlink ref="N25" r:id="rId52" display="https://www.karriere.at/jobs/10033472"/>
    <hyperlink ref="AD25" r:id="rId53" display="https://www.karriere.at/f/x-tention-informationstechnologie"/>
    <hyperlink ref="N26" r:id="rId54" display="https://www.linkedin.com/jobs/view/4469750644"/>
    <hyperlink ref="AD26" r:id="rId55" display="https://at.linkedin.com/company/soulkitchen-group"/>
    <hyperlink ref="N27" r:id="rId56" display="https://www.linkedin.com/jobs/view/4470695814"/>
    <hyperlink ref="AD27" r:id="rId57" display="https://www.linkedin.com/company/hr-consulting-ines-sch%C3%B6ffmann-gmbh"/>
    <hyperlink ref="N28" r:id="rId58" display="https://www.karriere.at/jobs/7880023"/>
    <hyperlink ref="P28" r:id="rId59" display="https://www.linkedin.com/jobs/view/4470455077"/>
    <hyperlink ref="AD28" r:id="rId60" display="https://www.karriere.at/f/spar-ics-information-communication-services"/>
    <hyperlink ref="N29" r:id="rId61" display="https://www.linkedin.com/jobs/view/4292781889"/>
    <hyperlink ref="AD29" r:id="rId62" display="https://www.linkedin.com/company/deloitte"/>
    <hyperlink ref="N30" r:id="rId63" display="https://www.karriere.at/jobs/7859100"/>
    <hyperlink ref="AD30" r:id="rId64" display="https://www.karriere.at/f/reqpool"/>
    <hyperlink ref="N31" r:id="rId65" display="https://www.karriere.at/jobs/7852769"/>
    <hyperlink ref="AD31" r:id="rId66" display="https://www.karriere.at/f/ktm"/>
    <hyperlink ref="N32" r:id="rId67" display="https://www.karriere.at/jobs/7818680"/>
    <hyperlink ref="P32" r:id="rId68" display="https://bewerbung.acp-gruppe.com/at/rx/1119"/>
    <hyperlink ref="AD32" r:id="rId69" display="https://www.karriere.at/f/acp-gruppe"/>
    <hyperlink ref="N33" r:id="rId70" display="https://www.karriere.at/jobs/10024962"/>
    <hyperlink ref="AD33" r:id="rId71" display="https://www.karriere.at/f/senoplast-klepsch"/>
    <hyperlink ref="N34" r:id="rId72" display="https://www.karriere.at/jobs/10030515"/>
    <hyperlink ref="AD34" r:id="rId73" display="https://www.karriere.at/f/arvai-plastics"/>
    <hyperlink ref="N35" r:id="rId74" display="https://www.karriere.at/jobs/7868473"/>
    <hyperlink ref="P35" r:id="rId75" display="https://www.linkedin.com/jobs/view/4461268801"/>
    <hyperlink ref="AD35" r:id="rId76" display="https://www.karriere.at/f/spar-ics-information-communication-services"/>
    <hyperlink ref="N36" r:id="rId77" display="https://www.karriere.at/jobs/10032419"/>
    <hyperlink ref="AD36" r:id="rId78" display="https://www.karriere.at/f/messezentrum-salzburg"/>
    <hyperlink ref="N37" r:id="rId79" display="https://www.linkedin.com/jobs/view/4458175246"/>
    <hyperlink ref="AD37" r:id="rId80" display="https://at.linkedin.com/school/universitaet-salzburg/"/>
    <hyperlink ref="N38" r:id="rId81" display="https://www.linkedin.com/jobs/view/4471884648"/>
    <hyperlink ref="AD38" r:id="rId82" display="https://www.linkedin.com/company/ip50"/>
    <hyperlink ref="N39" r:id="rId83" display="https://www.karriere.at/jobs/7863127"/>
    <hyperlink ref="P39" r:id="rId84" display="https://www.linkedin.com/jobs/view/4454494899"/>
    <hyperlink ref="AD39" r:id="rId85" display="https://www.karriere.at/f/spar-ics-information-communication-services"/>
    <hyperlink ref="N40" r:id="rId86" display="https://www.karriere.at/jobs/10033575"/>
    <hyperlink ref="AD40" r:id="rId87" display="https://www.karriere.at/f/sanitas"/>
    <hyperlink ref="N41" r:id="rId88" display="https://www.karriere.at/jobs/10033619"/>
    <hyperlink ref="AD41" r:id="rId89" display="https://www.karriere.at/f/dbconcepts"/>
    <hyperlink ref="N42" r:id="rId90" display="https://www.karriere.at/jobs/10032941"/>
    <hyperlink ref="AD42" r:id="rId91" display="https://www.karriere.at/f/%C3%B6sterreichische-gesundheitskasse-wien"/>
    <hyperlink ref="N43" r:id="rId92" display="https://www.linkedin.com/jobs/view/4463896589"/>
    <hyperlink ref="AD43" r:id="rId93" display="https://de.linkedin.com/company/arineo"/>
    <hyperlink ref="N44" r:id="rId94" display="https://www.karriere.at/jobs/7860364"/>
    <hyperlink ref="P44" r:id="rId95" display="https://bewerbung.acp-gruppe.com/at/rx/887"/>
    <hyperlink ref="AD44" r:id="rId96" display="https://www.karriere.at/f/acp-gruppe"/>
    <hyperlink ref="N45" r:id="rId97" display="https://www.karriere.at/jobs/7879510"/>
    <hyperlink ref="P45" r:id="rId98" display="https://www.linkedin.com/jobs/view/4468764638&#10;https://bewerbung.acp-gruppe.com/at/rx/907"/>
    <hyperlink ref="AD45" r:id="rId99" display="https://www.karriere.at/f/acp-gruppe"/>
    <hyperlink ref="N46" r:id="rId100" display="https://www.linkedin.com/jobs/view/4446306750"/>
    <hyperlink ref="AD46" r:id="rId101" display="https://at.linkedin.com/company/iventagroup"/>
    <hyperlink ref="N47" r:id="rId102" display="https://www.linkedin.com/jobs/view/4471881682"/>
    <hyperlink ref="AD47" r:id="rId103" display="https://www.linkedin.com/company/ip50"/>
    <hyperlink ref="N48" r:id="rId104" display="https://jobs.redbull.com/at-de/elsbethen-it-project-application-manager-sapfi-application--ref31534p"/>
    <hyperlink ref="P48" r:id="rId105" display="https://www.karriere.at/jobs/7821824&#10;https://www.linkedin.com/jobs/view/4454029704&#10;https://www.linkedin.com/jobs/view/4425603684"/>
    <hyperlink ref="AD48" r:id="rId106" display="https://www.karriere.at/f/red-bull"/>
    <hyperlink ref="N49" r:id="rId107" display="https://www.karriere.at/jobs/7868488"/>
    <hyperlink ref="AD49" r:id="rId108" display="https://www.karriere.at/f/kpmg-%C3%B6sterreich"/>
    <hyperlink ref="N50" r:id="rId109" display="https://www.karriere.at/jobs/7874311"/>
    <hyperlink ref="AD50" r:id="rId110" display="https://www.karriere.at/f/teampool-personalberatung"/>
    <hyperlink ref="N51" r:id="rId111" display="https://www.karriere.at/jobs/10031631"/>
    <hyperlink ref="AD51" r:id="rId112" display="https://www.karriere.at/f/x-tention-informationstechnologie"/>
    <hyperlink ref="N52" r:id="rId113" display="https://www.karriere.at/jobs/10031629"/>
    <hyperlink ref="AD52" r:id="rId114" display="https://www.karriere.at/f/x-tention-informationstechnologie"/>
    <hyperlink ref="N53" r:id="rId115" display="https://www.karriere.at/jobs/7872163"/>
    <hyperlink ref="AD53" r:id="rId116" display="https://www.karriere.at/f/sigmatek"/>
    <hyperlink ref="N54" r:id="rId117" display="https://www.karriere.at/jobs/7862965"/>
    <hyperlink ref="P54" r:id="rId118" display="https://www.linkedin.com/jobs/view/4458164478"/>
    <hyperlink ref="AD54" r:id="rId119" display="https://www.karriere.at/f/universit%C3%A4t-salzburg-personalabteilung"/>
    <hyperlink ref="N55" r:id="rId120" display="https://www.karriere.at/jobs/7852229"/>
    <hyperlink ref="AD55" r:id="rId121" display="https://www.karriere.at/f/heimat-%C3%B6sterreich-gemeinn%C3%BCtzige-wohnungs-und-siedlungsgesellschaft"/>
    <hyperlink ref="N56" r:id="rId122" display="https://www.karriere.at/jobs/10030831"/>
    <hyperlink ref="AD56" r:id="rId123" display="https://www.karriere.at/f/itaurus-it-dienstleistungs-gmbh"/>
    <hyperlink ref="N57" r:id="rId124" display="https://bewerbung.acp-gruppe.com/at/rx/906"/>
    <hyperlink ref="AD57" r:id="rId125" display="https://bewerbung.acp-gruppe.com/at"/>
    <hyperlink ref="N58" r:id="rId126" display="https://www.karriere.at/jobs/7869670"/>
    <hyperlink ref="AD58" r:id="rId127" display="https://www.karriere.at/f/tnt-personalberatung"/>
    <hyperlink ref="N59" r:id="rId128" display="https://www.karriere.at/jobs/7863661"/>
    <hyperlink ref="P59" r:id="rId129" display="https://www.linkedin.com/jobs/view/4454189709"/>
    <hyperlink ref="AD59" r:id="rId130" display="https://www.karriere.at/f/nts"/>
    <hyperlink ref="N60" r:id="rId131" display="https://www.karriere.at/jobs/7839929"/>
    <hyperlink ref="AD60" r:id="rId132" display="https://www.karriere.at/f/cancomaustria"/>
    <hyperlink ref="N61" r:id="rId133" display="https://www.karriere.at/jobs/7873291"/>
    <hyperlink ref="AD61" r:id="rId134" display="https://www.karriere.at/f/cancomaustria"/>
    <hyperlink ref="N62" r:id="rId135" display="https://www.linkedin.com/jobs/view/4460493025"/>
    <hyperlink ref="AD62" r:id="rId136" display="https://at.linkedin.com/company/tnt-personal"/>
    <hyperlink ref="N63" r:id="rId137" display="https://www.karriere.at/jobs/7868491"/>
    <hyperlink ref="AD63" r:id="rId138" display="https://www.karriere.at/f/kpmg-%C3%B6sterreich"/>
    <hyperlink ref="N64" r:id="rId139" display="https://www.karriere.at/jobs/10024863"/>
    <hyperlink ref="AD64" r:id="rId140" display="https://www.karriere.at/f/ginzinger-electronic-systems"/>
    <hyperlink ref="N65" r:id="rId141" display="https://www.karriere.at/jobs/10029632"/>
    <hyperlink ref="AD65" r:id="rId142" display="https://www.karriere.at/f/ever-pharma"/>
    <hyperlink ref="N66" r:id="rId143" display="https://www.linkedin.com/jobs/view/4459936185"/>
    <hyperlink ref="AD66" r:id="rId144" display="https://at.linkedin.com/company/windhagerhandelsgesmbh"/>
    <hyperlink ref="N67" r:id="rId145" display="https://www.karriere.at/jobs/7850054"/>
    <hyperlink ref="AD67" r:id="rId146" display="https://www.karriere.at/f/wirtschaftskammer-salzburg"/>
    <hyperlink ref="N68" r:id="rId147" display="https://www.karriere.at/jobs/7847861"/>
    <hyperlink ref="AD68" r:id="rId148" display="https://www.karriere.at/f/salzburg-f%C3%BCr-energie-verkehr-und-telekommunikation"/>
    <hyperlink ref="N69" r:id="rId149" display="https://www.karriere.at/jobs/7864984"/>
    <hyperlink ref="AD69" r:id="rId150" display="https://www.karriere.at/f/kern-engineering-careers"/>
    <hyperlink ref="N70" r:id="rId151" display="https://www.karriere.at/jobs/7868917"/>
    <hyperlink ref="P70" r:id="rId152" display="https://www.linkedin.com/jobs/view/4454710752"/>
    <hyperlink ref="AD70" r:id="rId153" display="https://www.karriere.at/f/spar-ics-information-communication-services"/>
    <hyperlink ref="N71" r:id="rId154" display="https://www.karriere.at/jobs/7878931"/>
    <hyperlink ref="AD71" r:id="rId155" display="https://www.karriere.at/f/lenzing"/>
    <hyperlink ref="N72" r:id="rId156" display="https://www.karriere.at/jobs/10033437"/>
    <hyperlink ref="AD72" r:id="rId157" display="https://www.karriere.at/f/x-tention-informationstechnologie"/>
    <hyperlink ref="N73" r:id="rId158" display="https://www.karriere.at/jobs/10032590"/>
    <hyperlink ref="AD73" r:id="rId159" display="https://www.karriere.at/f/gastrodat"/>
    <hyperlink ref="N74" r:id="rId160" display="https://www.linkedin.com/jobs/view/4465016911"/>
    <hyperlink ref="AD74" r:id="rId161" display="https://at.linkedin.com/company/ktm-ag"/>
    <hyperlink ref="N75" r:id="rId162" display="https://www.karriere.at/jobs/10031930"/>
    <hyperlink ref="AD75" r:id="rId163" display="https://www.karriere.at/f/salzburger-festspielfonds"/>
    <hyperlink ref="N76" r:id="rId164" display="https://www.karriere.at/jobs/7785812"/>
    <hyperlink ref="AD76" r:id="rId165" display="https://www.karriere.at/f/epunkt-linz"/>
    <hyperlink ref="N77" r:id="rId166" display="https://www.karriere.at/jobs/10030769"/>
    <hyperlink ref="AD77" r:id="rId167" display="https://www.karriere.at/f/x-tention-informationstechnologie"/>
    <hyperlink ref="N78" r:id="rId168" display="https://www.karriere.at/jobs/7839089"/>
    <hyperlink ref="P78" r:id="rId169" display="https://bewerbung.acp-gruppe.com/at/rx/1178"/>
    <hyperlink ref="AD78" r:id="rId170" display="https://www.karriere.at/f/acp-gruppe"/>
    <hyperlink ref="N79" r:id="rId171" display="https://www.linkedin.com/jobs/view/4467166977"/>
    <hyperlink ref="AD79" r:id="rId172" display="https://at.linkedin.com/company/ottoaustriagroup"/>
    <hyperlink ref="N80" r:id="rId173" display="https://www.karriere.at/jobs/7864783"/>
    <hyperlink ref="P80" r:id="rId174" display="https://www.linkedin.com/jobs/view/4457605563"/>
    <hyperlink ref="AD80" r:id="rId175" display="https://www.karriere.at/f/bwt-holding-gmbh"/>
    <hyperlink ref="N81" r:id="rId176" display="https://www.linkedin.com/jobs/view/4079343035"/>
    <hyperlink ref="AD81" r:id="rId177" display="https://de.linkedin.com/company/vesterling"/>
    <hyperlink ref="N82" r:id="rId178" display="https://www.karriere.at/jobs/10028895"/>
    <hyperlink ref="AD82" r:id="rId179" display="https://www.karriere.at/f/scri-limcr-gem"/>
    <hyperlink ref="N83" r:id="rId180" display="https://www.linkedin.com/jobs/view/4467812372"/>
    <hyperlink ref="AD83" r:id="rId181" display="https://ro.linkedin.com/company/career-advisor"/>
    <hyperlink ref="N84" r:id="rId182" display="https://www.karriere.at/jobs/7876942"/>
    <hyperlink ref="P84" r:id="rId183" display="https://www.linkedin.com/jobs/view/4466532375"/>
    <hyperlink ref="AD84" r:id="rId184" display="https://www.karriere.at/f/nts"/>
    <hyperlink ref="N85" r:id="rId185" display="https://www.karriere.at/jobs/7852112"/>
    <hyperlink ref="P85" r:id="rId186" display="https://www.karriere.at/jobs/7877971"/>
    <hyperlink ref="AD85" r:id="rId187" display="https://www.karriere.at/f/kern-engineering-careers"/>
    <hyperlink ref="N86" r:id="rId188" display="https://www.linkedin.com/jobs/view/4471875916"/>
    <hyperlink ref="AD86" r:id="rId189" display="https://www.linkedin.com/company/ip50"/>
    <hyperlink ref="N87" r:id="rId190" display="https://www.karriere.at/jobs/7830557"/>
    <hyperlink ref="AD87" r:id="rId191" display="https://www.karriere.at/f/acp-gruppe"/>
    <hyperlink ref="N88" r:id="rId192" display="https://www.linkedin.com/jobs/view/4443244554"/>
    <hyperlink ref="AD88" r:id="rId193" display="https://de.linkedin.com/company/hemmersbach"/>
    <hyperlink ref="N89" r:id="rId194" display="https://www.karriere.at/jobs/10031586"/>
    <hyperlink ref="AD89" r:id="rId195" display="https://www.karriere.at/f/standout-gmbh"/>
    <hyperlink ref="N90" r:id="rId196" display="https://www.karriere.at/jobs/7879333"/>
    <hyperlink ref="AD90" r:id="rId197" display="https://www.karriere.at/f/kpmg-%C3%B6sterreich"/>
    <hyperlink ref="N91" r:id="rId198" display="https://www.karriere.at/jobs/7875835"/>
    <hyperlink ref="P91" r:id="rId199" display="https://www.linkedin.com/jobs/view/4466158169"/>
    <hyperlink ref="AD91" r:id="rId200" display="https://www.karriere.at/f/peneder-unternehmensgruppe"/>
    <hyperlink ref="N92" r:id="rId201" display="https://www.karriere.at/jobs/7831022"/>
    <hyperlink ref="AD92" r:id="rId202" display="https://www.karriere.at/f/%C3%B6wd-security-services"/>
    <hyperlink ref="N93" r:id="rId203" display="https://www.karriere.at/jobs/7839275"/>
    <hyperlink ref="AD93" r:id="rId204" display="https://www.karriere.at/f/salzburg-f%C3%BCr-energie-verkehr-und-telekommunikation"/>
    <hyperlink ref="N94" r:id="rId205" display="https://www.linkedin.com/jobs/view/4468177192"/>
    <hyperlink ref="AD94" r:id="rId206" display="https://at.linkedin.com/company/eworx-at"/>
    <hyperlink ref="N95" r:id="rId207" display="https://www.karriere.at/jobs/10030035"/>
    <hyperlink ref="AD95" r:id="rId208" display="https://www.karriere.at/f/x-tention-informationstechnologie"/>
    <hyperlink ref="N96" r:id="rId209" display="https://www.karriere.at/jobs/7861873"/>
    <hyperlink ref="AD96" r:id="rId210" display="https://www.karriere.at/f/beko-engineering-informatik-wien"/>
    <hyperlink ref="N97" r:id="rId211" display="https://www.karriere.at/jobs/7833350"/>
    <hyperlink ref="AD97" r:id="rId212" display="https://www.karriere.at/f/raiffeisen-ober%C3%B6sterreich"/>
    <hyperlink ref="N98" r:id="rId213" display="https://www.karriere.at/jobs/7857257"/>
    <hyperlink ref="AD98" r:id="rId214" display="https://www.karriere.at/f/windhager-handelsgesmbh"/>
    <hyperlink ref="N99" r:id="rId215" display="https://www.karriere.at/jobs/7875151"/>
    <hyperlink ref="P99" r:id="rId216" display="https://www.linkedin.com/jobs/view/4466047572"/>
    <hyperlink ref="AD99" r:id="rId217" display="https://www.karriere.at/f/spar-ics-information-communication-services"/>
    <hyperlink ref="N100" r:id="rId218" display="https://www.karriere.at/jobs/7877968"/>
    <hyperlink ref="AD100" r:id="rId219" display="https://www.karriere.at/f/kern-engineering-careers"/>
    <hyperlink ref="N101" r:id="rId220" display="https://www.karriere.at/jobs/10031668"/>
    <hyperlink ref="AD101" r:id="rId221" display="https://www.karriere.at/f/aptiv-mobility-services-austria-mat"/>
    <hyperlink ref="N102" r:id="rId222" display="https://www.karriere.at/jobs/10029254"/>
    <hyperlink ref="AD102" r:id="rId223" display="https://www.karriere.at/f/walter-werkzeuge-salzburg"/>
    <hyperlink ref="N103" r:id="rId224" display="https://www.karriere.at/jobs/10032397"/>
    <hyperlink ref="AD103" r:id="rId225" display="https://www.karriere.at/f/nic-at"/>
    <hyperlink ref="N104" r:id="rId226" display="https://www.linkedin.com/jobs/view/4464551042"/>
    <hyperlink ref="AD104" r:id="rId227" display="https://at.linkedin.com/company/starcon-hr-experts"/>
    <hyperlink ref="N105" r:id="rId228" display="https://www.linkedin.com/jobs/view/4455712644"/>
    <hyperlink ref="AD105" r:id="rId229" display="https://at.linkedin.com/company/sparics"/>
    <hyperlink ref="N106" r:id="rId230" display="https://www.karriere.at/jobs/7852328"/>
    <hyperlink ref="AD106" r:id="rId231" display="https://www.karriere.at/f/stieglbrauerei-zu-salzburg"/>
    <hyperlink ref="N107" r:id="rId232" display="https://www.karriere.at/jobs/10032935"/>
    <hyperlink ref="AD107" r:id="rId233" display="https://www.karriere.at/f/se-austria-co"/>
    <hyperlink ref="N108" r:id="rId234" display="https://www.karriere.at/jobs/7822727"/>
    <hyperlink ref="AD108" r:id="rId235" display="https://www.karriere.at/f/salzburg-f%C3%BCr-energie-verkehr-und-telekommunikation"/>
    <hyperlink ref="N109" r:id="rId236" display="https://www.karriere.at/jobs/10030185"/>
    <hyperlink ref="AD109" r:id="rId237" display="https://www.karriere.at/f/myflexbox-austria"/>
    <hyperlink ref="N110" r:id="rId238" display="https://www.karriere.at/jobs/7875829"/>
    <hyperlink ref="P110" r:id="rId239" display="https://www.linkedin.com/jobs/view/4466149299"/>
    <hyperlink ref="AD110" r:id="rId240" display="https://www.karriere.at/f/peneder-unternehmensgruppe"/>
    <hyperlink ref="N111" r:id="rId241" display="https://www.karriere.at/jobs/7867051"/>
    <hyperlink ref="AD111" r:id="rId242" display="https://www.karriere.at/f/epunkt-linz"/>
    <hyperlink ref="N112" r:id="rId243" display="https://www.linkedin.com/jobs/view/4468259260"/>
    <hyperlink ref="AD112" r:id="rId244" display="https://at.linkedin.com/company/porsche-holding"/>
    <hyperlink ref="N113" r:id="rId245" display="https://www.linkedin.com/jobs/view/4465980516"/>
    <hyperlink ref="P113" r:id="rId246" display="https://www.linkedin.com/jobs/view/4465994367"/>
    <hyperlink ref="AD113" r:id="rId247" display="https://at.linkedin.com/company/hai-hammerer-aluminium-industries-gmbh"/>
    <hyperlink ref="N114" r:id="rId248" display="https://www.linkedin.com/jobs/view/4470313878"/>
    <hyperlink ref="AD114" r:id="rId249" display="https://at.linkedin.com/company/skidata-ag"/>
    <hyperlink ref="N115" r:id="rId250" display="https://www.karriere.at/jobs/10031783"/>
    <hyperlink ref="AD115" r:id="rId251" display="https://www.karriere.at/f/tauernkliniken-zell-am-see"/>
    <hyperlink ref="N116" r:id="rId252" display="https://bewerbung.acp-gruppe.com/at/rx/905"/>
    <hyperlink ref="AD116" r:id="rId253" display="https://bewerbung.acp-gruppe.com/at"/>
    <hyperlink ref="N117" r:id="rId254" display="https://www.karriere.at/jobs/7862488"/>
    <hyperlink ref="AD117" r:id="rId255" display="https://www.karriere.at/f/ramsauer-josef-kreidewerk"/>
    <hyperlink ref="N118" r:id="rId256" display="https://www.karriere.at/jobs/7838495"/>
    <hyperlink ref="AD118" r:id="rId257" display="https://www.karriere.at/f/cancomaustria"/>
    <hyperlink ref="N119" r:id="rId258" display="https://www.karriere.at/jobs/7860421"/>
    <hyperlink ref="AD119" r:id="rId259" display="https://www.karriere.at/f/beko-engineering-informatik-wien"/>
    <hyperlink ref="N120" r:id="rId260" display="https://www.karriere.at/jobs/10028951"/>
    <hyperlink ref="AD120" r:id="rId261" display="https://www.karriere.at/f/lebenshilfe-ober%C3%B6sterreich"/>
    <hyperlink ref="N121" r:id="rId262" display="https://www.karriere.at/jobs/7880215"/>
    <hyperlink ref="AD121" r:id="rId263" display="https://www.karriere.at/f/axians-ict-austria"/>
    <hyperlink ref="N122" r:id="rId264" display="https://www.karriere.at/jobs/10032853"/>
    <hyperlink ref="AD122" r:id="rId265" display="https://www.karriere.at/f/laturo-personalservice"/>
    <hyperlink ref="N123" r:id="rId266" display="https://www.karriere.at/jobs/10033505"/>
    <hyperlink ref="AD123" r:id="rId267" display="https://www.karriere.at/f/unifits-austria"/>
    <hyperlink ref="N124" r:id="rId268" display="https://www.karriere.at/jobs/10031056"/>
    <hyperlink ref="AD124" r:id="rId269" display="https://www.karriere.at/f/ever-pharma"/>
    <hyperlink ref="N125" r:id="rId270" display="https://www.karriere.at/jobs/10030479"/>
    <hyperlink ref="AD125" r:id="rId271" display="https://www.karriere.at/f/eurofunk-kappacher"/>
    <hyperlink ref="N126" r:id="rId272" display="https://www.karriere.at/jobs/7796165"/>
    <hyperlink ref="P126" r:id="rId273" display="https://www.linkedin.com/jobs/view/4408822098"/>
    <hyperlink ref="AD126" r:id="rId274" display="https://www.karriere.at/f/w%C3%BCstenrot-technolog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75"/>
  <legacyDrawing r:id="rId27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26"/>
    <col collapsed="false" customWidth="true" hidden="false" outlineLevel="0" max="3" min="3" style="0" width="30"/>
    <col collapsed="false" customWidth="true" hidden="false" outlineLevel="0" max="5" min="4" style="0" width="11"/>
    <col collapsed="false" customWidth="true" hidden="false" outlineLevel="0" max="6" min="6" style="0" width="70"/>
    <col collapsed="false" customWidth="true" hidden="false" outlineLevel="0" max="8" min="7" style="0" width="40"/>
  </cols>
  <sheetData>
    <row r="1" customFormat="false" ht="17.35" hidden="false" customHeight="false" outlineLevel="0" collapsed="false">
      <c r="A1" s="19" t="s">
        <v>1156</v>
      </c>
    </row>
    <row r="2" customFormat="false" ht="15" hidden="false" customHeight="false" outlineLevel="0" collapsed="false">
      <c r="A2" s="2" t="s">
        <v>1157</v>
      </c>
    </row>
    <row r="4" customFormat="false" ht="23.85" hidden="false" customHeight="false" outlineLevel="0" collapsed="false">
      <c r="A4" s="21" t="s">
        <v>1158</v>
      </c>
      <c r="B4" s="21" t="s">
        <v>1159</v>
      </c>
      <c r="C4" s="21" t="s">
        <v>1160</v>
      </c>
      <c r="D4" s="21" t="s">
        <v>1161</v>
      </c>
      <c r="E4" s="21" t="s">
        <v>68</v>
      </c>
      <c r="F4" s="21" t="s">
        <v>1162</v>
      </c>
      <c r="G4" s="21" t="s">
        <v>111</v>
      </c>
      <c r="H4" s="21" t="s">
        <v>1163</v>
      </c>
    </row>
    <row r="5" customFormat="false" ht="39.75" hidden="false" customHeight="true" outlineLevel="0" collapsed="false">
      <c r="A5" s="22" t="s">
        <v>113</v>
      </c>
      <c r="B5" s="22" t="s">
        <v>1164</v>
      </c>
      <c r="C5" s="22" t="s">
        <v>1165</v>
      </c>
      <c r="D5" s="30" t="n">
        <f aca="false">COUNTIF(İlanlar!$B$5:$B$126,A5)</f>
        <v>9</v>
      </c>
      <c r="E5" s="31" t="n">
        <f aca="false">_xlfn.MAXIFS(İlanlar!$Z$5:$Z$126,İlanlar!$B$5:$B$126,A5)</f>
        <v>0.91</v>
      </c>
      <c r="F5" s="22" t="s">
        <v>1166</v>
      </c>
      <c r="G5" s="24" t="s">
        <v>131</v>
      </c>
      <c r="H5" s="24" t="s">
        <v>1167</v>
      </c>
    </row>
    <row r="6" customFormat="false" ht="39.75" hidden="false" customHeight="true" outlineLevel="0" collapsed="false">
      <c r="A6" s="22" t="s">
        <v>132</v>
      </c>
      <c r="B6" s="22" t="s">
        <v>1168</v>
      </c>
      <c r="C6" s="22" t="s">
        <v>134</v>
      </c>
      <c r="D6" s="30" t="n">
        <f aca="false">COUNTIF(İlanlar!$B$5:$B$126,A6)</f>
        <v>1</v>
      </c>
      <c r="E6" s="31" t="n">
        <f aca="false">_xlfn.MAXIFS(İlanlar!$Z$5:$Z$126,İlanlar!$B$5:$B$126,A6)</f>
        <v>0.87</v>
      </c>
      <c r="F6" s="22" t="s">
        <v>133</v>
      </c>
      <c r="G6" s="24" t="s">
        <v>144</v>
      </c>
      <c r="H6" s="22"/>
    </row>
    <row r="7" customFormat="false" ht="39.75" hidden="false" customHeight="true" outlineLevel="0" collapsed="false">
      <c r="A7" s="22" t="s">
        <v>179</v>
      </c>
      <c r="B7" s="22" t="s">
        <v>1169</v>
      </c>
      <c r="C7" s="22" t="s">
        <v>181</v>
      </c>
      <c r="D7" s="30" t="n">
        <f aca="false">COUNTIF(İlanlar!$B$5:$B$126,A7)</f>
        <v>2</v>
      </c>
      <c r="E7" s="31" t="n">
        <f aca="false">_xlfn.MAXIFS(İlanlar!$Z$5:$Z$126,İlanlar!$B$5:$B$126,A7)</f>
        <v>0.84</v>
      </c>
      <c r="F7" s="22" t="s">
        <v>1170</v>
      </c>
      <c r="G7" s="24" t="s">
        <v>188</v>
      </c>
      <c r="H7" s="24" t="s">
        <v>1171</v>
      </c>
    </row>
    <row r="8" customFormat="false" ht="39.75" hidden="false" customHeight="true" outlineLevel="0" collapsed="false">
      <c r="A8" s="22" t="s">
        <v>197</v>
      </c>
      <c r="B8" s="22" t="s">
        <v>1168</v>
      </c>
      <c r="C8" s="22" t="s">
        <v>199</v>
      </c>
      <c r="D8" s="30" t="n">
        <f aca="false">COUNTIF(İlanlar!$B$5:$B$126,A8)</f>
        <v>1</v>
      </c>
      <c r="E8" s="31" t="n">
        <f aca="false">_xlfn.MAXIFS(İlanlar!$Z$5:$Z$126,İlanlar!$B$5:$B$126,A8)</f>
        <v>0.81</v>
      </c>
      <c r="F8" s="22" t="s">
        <v>198</v>
      </c>
      <c r="G8" s="24" t="s">
        <v>206</v>
      </c>
      <c r="H8" s="22"/>
    </row>
    <row r="9" customFormat="false" ht="39.75" hidden="false" customHeight="true" outlineLevel="0" collapsed="false">
      <c r="A9" s="22" t="s">
        <v>207</v>
      </c>
      <c r="B9" s="22" t="s">
        <v>1172</v>
      </c>
      <c r="C9" s="22" t="s">
        <v>1173</v>
      </c>
      <c r="D9" s="30" t="n">
        <f aca="false">COUNTIF(İlanlar!$B$5:$B$126,A9)</f>
        <v>3</v>
      </c>
      <c r="E9" s="31" t="n">
        <f aca="false">_xlfn.MAXIFS(İlanlar!$Z$5:$Z$126,İlanlar!$B$5:$B$126,A9)</f>
        <v>0.805</v>
      </c>
      <c r="F9" s="22" t="s">
        <v>1174</v>
      </c>
      <c r="G9" s="24" t="s">
        <v>221</v>
      </c>
      <c r="H9" s="24" t="s">
        <v>1175</v>
      </c>
    </row>
    <row r="10" customFormat="false" ht="39.75" hidden="false" customHeight="true" outlineLevel="0" collapsed="false">
      <c r="A10" s="22" t="s">
        <v>275</v>
      </c>
      <c r="B10" s="22" t="s">
        <v>1172</v>
      </c>
      <c r="C10" s="22" t="s">
        <v>181</v>
      </c>
      <c r="D10" s="30" t="n">
        <f aca="false">COUNTIF(İlanlar!$B$5:$B$126,A10)</f>
        <v>1</v>
      </c>
      <c r="E10" s="31" t="n">
        <f aca="false">_xlfn.MAXIFS(İlanlar!$Z$5:$Z$126,İlanlar!$B$5:$B$126,A10)</f>
        <v>0.775</v>
      </c>
      <c r="F10" s="22" t="s">
        <v>276</v>
      </c>
      <c r="G10" s="24" t="s">
        <v>283</v>
      </c>
      <c r="H10" s="24" t="s">
        <v>1176</v>
      </c>
    </row>
    <row r="11" customFormat="false" ht="39.75" hidden="false" customHeight="true" outlineLevel="0" collapsed="false">
      <c r="A11" s="22" t="s">
        <v>284</v>
      </c>
      <c r="B11" s="22" t="s">
        <v>1172</v>
      </c>
      <c r="C11" s="22" t="s">
        <v>1177</v>
      </c>
      <c r="D11" s="30" t="n">
        <f aca="false">COUNTIF(İlanlar!$B$5:$B$126,A11)</f>
        <v>4</v>
      </c>
      <c r="E11" s="31" t="n">
        <f aca="false">_xlfn.MAXIFS(İlanlar!$Z$5:$Z$126,İlanlar!$B$5:$B$126,A11)</f>
        <v>0.775</v>
      </c>
      <c r="F11" s="22" t="s">
        <v>1178</v>
      </c>
      <c r="G11" s="24" t="s">
        <v>294</v>
      </c>
      <c r="H11" s="22"/>
    </row>
    <row r="12" customFormat="false" ht="39.75" hidden="false" customHeight="true" outlineLevel="0" collapsed="false">
      <c r="A12" s="22" t="s">
        <v>295</v>
      </c>
      <c r="B12" s="22" t="s">
        <v>1168</v>
      </c>
      <c r="C12" s="22" t="s">
        <v>297</v>
      </c>
      <c r="D12" s="30" t="n">
        <f aca="false">COUNTIF(İlanlar!$B$5:$B$126,A12)</f>
        <v>1</v>
      </c>
      <c r="E12" s="31" t="n">
        <f aca="false">_xlfn.MAXIFS(İlanlar!$Z$5:$Z$126,İlanlar!$B$5:$B$126,A12)</f>
        <v>0.77</v>
      </c>
      <c r="F12" s="22" t="s">
        <v>296</v>
      </c>
      <c r="G12" s="24" t="s">
        <v>303</v>
      </c>
      <c r="H12" s="24" t="s">
        <v>1179</v>
      </c>
    </row>
    <row r="13" customFormat="false" ht="39.75" hidden="false" customHeight="true" outlineLevel="0" collapsed="false">
      <c r="A13" s="22" t="s">
        <v>245</v>
      </c>
      <c r="B13" s="22" t="s">
        <v>1168</v>
      </c>
      <c r="C13" s="22" t="s">
        <v>247</v>
      </c>
      <c r="D13" s="30" t="n">
        <f aca="false">COUNTIF(İlanlar!$B$5:$B$126,A13)</f>
        <v>1</v>
      </c>
      <c r="E13" s="31" t="n">
        <f aca="false">_xlfn.MAXIFS(İlanlar!$Z$5:$Z$126,İlanlar!$B$5:$B$126,A13)</f>
        <v>0.76</v>
      </c>
      <c r="F13" s="22" t="s">
        <v>246</v>
      </c>
      <c r="G13" s="24" t="s">
        <v>255</v>
      </c>
      <c r="H13" s="24" t="s">
        <v>1180</v>
      </c>
    </row>
    <row r="14" customFormat="false" ht="39.75" hidden="false" customHeight="true" outlineLevel="0" collapsed="false">
      <c r="A14" s="22" t="s">
        <v>304</v>
      </c>
      <c r="B14" s="22" t="s">
        <v>1169</v>
      </c>
      <c r="C14" s="22" t="s">
        <v>258</v>
      </c>
      <c r="D14" s="30" t="n">
        <f aca="false">COUNTIF(İlanlar!$B$5:$B$126,A14)</f>
        <v>1</v>
      </c>
      <c r="E14" s="31" t="n">
        <f aca="false">_xlfn.MAXIFS(İlanlar!$Z$5:$Z$126,İlanlar!$B$5:$B$126,A14)</f>
        <v>0.75</v>
      </c>
      <c r="F14" s="22" t="s">
        <v>305</v>
      </c>
      <c r="G14" s="24" t="s">
        <v>313</v>
      </c>
      <c r="H14" s="22"/>
    </row>
    <row r="15" customFormat="false" ht="39.75" hidden="false" customHeight="true" outlineLevel="0" collapsed="false">
      <c r="A15" s="22" t="s">
        <v>256</v>
      </c>
      <c r="B15" s="22" t="s">
        <v>1169</v>
      </c>
      <c r="C15" s="22" t="s">
        <v>258</v>
      </c>
      <c r="D15" s="30" t="n">
        <f aca="false">COUNTIF(İlanlar!$B$5:$B$126,A15)</f>
        <v>1</v>
      </c>
      <c r="E15" s="31" t="n">
        <f aca="false">_xlfn.MAXIFS(İlanlar!$Z$5:$Z$126,İlanlar!$B$5:$B$126,A15)</f>
        <v>0.74</v>
      </c>
      <c r="F15" s="22" t="s">
        <v>257</v>
      </c>
      <c r="G15" s="24" t="s">
        <v>265</v>
      </c>
      <c r="H15" s="22"/>
    </row>
    <row r="16" customFormat="false" ht="39.75" hidden="false" customHeight="true" outlineLevel="0" collapsed="false">
      <c r="A16" s="22" t="s">
        <v>314</v>
      </c>
      <c r="B16" s="22" t="s">
        <v>1169</v>
      </c>
      <c r="C16" s="22" t="s">
        <v>1181</v>
      </c>
      <c r="D16" s="30" t="n">
        <f aca="false">COUNTIF(İlanlar!$B$5:$B$126,A16)</f>
        <v>6</v>
      </c>
      <c r="E16" s="31" t="n">
        <f aca="false">_xlfn.MAXIFS(İlanlar!$Z$5:$Z$126,İlanlar!$B$5:$B$126,A16)</f>
        <v>0.74</v>
      </c>
      <c r="F16" s="22" t="s">
        <v>1182</v>
      </c>
      <c r="G16" s="24" t="s">
        <v>323</v>
      </c>
      <c r="H16" s="24" t="s">
        <v>1183</v>
      </c>
    </row>
    <row r="17" customFormat="false" ht="39.75" hidden="false" customHeight="true" outlineLevel="0" collapsed="false">
      <c r="A17" s="22" t="s">
        <v>324</v>
      </c>
      <c r="B17" s="22" t="s">
        <v>1164</v>
      </c>
      <c r="C17" s="22" t="s">
        <v>181</v>
      </c>
      <c r="D17" s="30" t="n">
        <f aca="false">COUNTIF(İlanlar!$B$5:$B$126,A17)</f>
        <v>1</v>
      </c>
      <c r="E17" s="31" t="n">
        <f aca="false">_xlfn.MAXIFS(İlanlar!$Z$5:$Z$126,İlanlar!$B$5:$B$126,A17)</f>
        <v>0.74</v>
      </c>
      <c r="F17" s="22" t="s">
        <v>325</v>
      </c>
      <c r="G17" s="24" t="s">
        <v>333</v>
      </c>
      <c r="H17" s="22"/>
    </row>
    <row r="18" customFormat="false" ht="39.75" hidden="false" customHeight="true" outlineLevel="0" collapsed="false">
      <c r="A18" s="22" t="s">
        <v>334</v>
      </c>
      <c r="B18" s="22" t="s">
        <v>1172</v>
      </c>
      <c r="C18" s="22" t="s">
        <v>336</v>
      </c>
      <c r="D18" s="30" t="n">
        <f aca="false">COUNTIF(İlanlar!$B$5:$B$126,A18)</f>
        <v>1</v>
      </c>
      <c r="E18" s="31" t="n">
        <f aca="false">_xlfn.MAXIFS(İlanlar!$Z$5:$Z$126,İlanlar!$B$5:$B$126,A18)</f>
        <v>0.735</v>
      </c>
      <c r="F18" s="22" t="s">
        <v>335</v>
      </c>
      <c r="G18" s="24" t="s">
        <v>345</v>
      </c>
      <c r="H18" s="24" t="s">
        <v>1184</v>
      </c>
    </row>
    <row r="19" customFormat="false" ht="39.75" hidden="false" customHeight="true" outlineLevel="0" collapsed="false">
      <c r="A19" s="22" t="s">
        <v>346</v>
      </c>
      <c r="B19" s="22" t="s">
        <v>1164</v>
      </c>
      <c r="C19" s="22" t="s">
        <v>1185</v>
      </c>
      <c r="D19" s="30" t="n">
        <f aca="false">COUNTIF(İlanlar!$B$5:$B$126,A19)</f>
        <v>5</v>
      </c>
      <c r="E19" s="31" t="n">
        <f aca="false">_xlfn.MAXIFS(İlanlar!$Z$5:$Z$126,İlanlar!$B$5:$B$126,A19)</f>
        <v>0.72</v>
      </c>
      <c r="F19" s="22" t="s">
        <v>1186</v>
      </c>
      <c r="G19" s="24" t="s">
        <v>357</v>
      </c>
      <c r="H19" s="22"/>
    </row>
    <row r="20" customFormat="false" ht="39.75" hidden="false" customHeight="true" outlineLevel="0" collapsed="false">
      <c r="A20" s="22" t="s">
        <v>358</v>
      </c>
      <c r="B20" s="22" t="s">
        <v>1169</v>
      </c>
      <c r="C20" s="22" t="s">
        <v>181</v>
      </c>
      <c r="D20" s="30" t="n">
        <f aca="false">COUNTIF(İlanlar!$B$5:$B$126,A20)</f>
        <v>1</v>
      </c>
      <c r="E20" s="31" t="n">
        <f aca="false">_xlfn.MAXIFS(İlanlar!$Z$5:$Z$126,İlanlar!$B$5:$B$126,A20)</f>
        <v>0.71</v>
      </c>
      <c r="F20" s="22" t="s">
        <v>359</v>
      </c>
      <c r="G20" s="24" t="s">
        <v>368</v>
      </c>
      <c r="H20" s="22"/>
    </row>
    <row r="21" customFormat="false" ht="39.75" hidden="false" customHeight="true" outlineLevel="0" collapsed="false">
      <c r="A21" s="22" t="s">
        <v>266</v>
      </c>
      <c r="B21" s="22" t="s">
        <v>1168</v>
      </c>
      <c r="C21" s="22" t="s">
        <v>1187</v>
      </c>
      <c r="D21" s="30" t="n">
        <f aca="false">COUNTIF(İlanlar!$B$5:$B$126,A21)</f>
        <v>2</v>
      </c>
      <c r="E21" s="31" t="n">
        <f aca="false">_xlfn.MAXIFS(İlanlar!$Z$5:$Z$126,İlanlar!$B$5:$B$126,A21)</f>
        <v>0.71</v>
      </c>
      <c r="F21" s="22" t="s">
        <v>1188</v>
      </c>
      <c r="G21" s="24" t="s">
        <v>274</v>
      </c>
      <c r="H21" s="22"/>
    </row>
    <row r="22" customFormat="false" ht="39.75" hidden="false" customHeight="true" outlineLevel="0" collapsed="false">
      <c r="A22" s="22" t="s">
        <v>369</v>
      </c>
      <c r="B22" s="22" t="s">
        <v>1169</v>
      </c>
      <c r="C22" s="22" t="s">
        <v>371</v>
      </c>
      <c r="D22" s="30" t="n">
        <f aca="false">COUNTIF(İlanlar!$B$5:$B$126,A22)</f>
        <v>1</v>
      </c>
      <c r="E22" s="31" t="n">
        <f aca="false">_xlfn.MAXIFS(İlanlar!$Z$5:$Z$126,İlanlar!$B$5:$B$126,A22)</f>
        <v>0.71</v>
      </c>
      <c r="F22" s="22" t="s">
        <v>370</v>
      </c>
      <c r="G22" s="24" t="s">
        <v>377</v>
      </c>
      <c r="H22" s="22"/>
    </row>
    <row r="23" customFormat="false" ht="39.75" hidden="false" customHeight="true" outlineLevel="0" collapsed="false">
      <c r="A23" s="22" t="s">
        <v>378</v>
      </c>
      <c r="B23" s="22" t="s">
        <v>1168</v>
      </c>
      <c r="C23" s="22" t="s">
        <v>1189</v>
      </c>
      <c r="D23" s="30" t="n">
        <f aca="false">COUNTIF(İlanlar!$B$5:$B$126,A23)</f>
        <v>2</v>
      </c>
      <c r="E23" s="31" t="n">
        <f aca="false">_xlfn.MAXIFS(İlanlar!$Z$5:$Z$126,İlanlar!$B$5:$B$126,A23)</f>
        <v>0.71</v>
      </c>
      <c r="F23" s="22" t="s">
        <v>1190</v>
      </c>
      <c r="G23" s="24" t="s">
        <v>387</v>
      </c>
      <c r="H23" s="22"/>
    </row>
    <row r="24" customFormat="false" ht="39.75" hidden="false" customHeight="true" outlineLevel="0" collapsed="false">
      <c r="A24" s="22" t="s">
        <v>388</v>
      </c>
      <c r="B24" s="22" t="s">
        <v>1169</v>
      </c>
      <c r="C24" s="22" t="s">
        <v>1191</v>
      </c>
      <c r="D24" s="30" t="n">
        <f aca="false">COUNTIF(İlanlar!$B$5:$B$126,A24)</f>
        <v>7</v>
      </c>
      <c r="E24" s="31" t="n">
        <f aca="false">_xlfn.MAXIFS(İlanlar!$Z$5:$Z$126,İlanlar!$B$5:$B$126,A24)</f>
        <v>0.695</v>
      </c>
      <c r="F24" s="22" t="s">
        <v>1192</v>
      </c>
      <c r="G24" s="24" t="s">
        <v>396</v>
      </c>
      <c r="H24" s="24" t="s">
        <v>603</v>
      </c>
    </row>
    <row r="25" customFormat="false" ht="39.75" hidden="false" customHeight="true" outlineLevel="0" collapsed="false">
      <c r="A25" s="22" t="s">
        <v>397</v>
      </c>
      <c r="B25" s="22" t="s">
        <v>1168</v>
      </c>
      <c r="C25" s="22" t="s">
        <v>399</v>
      </c>
      <c r="D25" s="30" t="n">
        <f aca="false">COUNTIF(İlanlar!$B$5:$B$126,A25)</f>
        <v>1</v>
      </c>
      <c r="E25" s="31" t="n">
        <f aca="false">_xlfn.MAXIFS(İlanlar!$Z$5:$Z$126,İlanlar!$B$5:$B$126,A25)</f>
        <v>0.69</v>
      </c>
      <c r="F25" s="22" t="s">
        <v>398</v>
      </c>
      <c r="G25" s="24" t="s">
        <v>404</v>
      </c>
      <c r="H25" s="24" t="s">
        <v>1193</v>
      </c>
    </row>
    <row r="26" customFormat="false" ht="39.75" hidden="false" customHeight="true" outlineLevel="0" collapsed="false">
      <c r="A26" s="22" t="s">
        <v>405</v>
      </c>
      <c r="B26" s="22" t="s">
        <v>1168</v>
      </c>
      <c r="C26" s="22" t="s">
        <v>407</v>
      </c>
      <c r="D26" s="30" t="n">
        <f aca="false">COUNTIF(İlanlar!$B$5:$B$126,A26)</f>
        <v>1</v>
      </c>
      <c r="E26" s="31" t="n">
        <f aca="false">_xlfn.MAXIFS(İlanlar!$Z$5:$Z$126,İlanlar!$B$5:$B$126,A26)</f>
        <v>0.69</v>
      </c>
      <c r="F26" s="22" t="s">
        <v>406</v>
      </c>
      <c r="G26" s="24" t="s">
        <v>414</v>
      </c>
      <c r="H26" s="22"/>
    </row>
    <row r="27" customFormat="false" ht="39.75" hidden="false" customHeight="true" outlineLevel="0" collapsed="false">
      <c r="A27" s="22" t="s">
        <v>423</v>
      </c>
      <c r="B27" s="22" t="s">
        <v>1194</v>
      </c>
      <c r="C27" s="22" t="s">
        <v>297</v>
      </c>
      <c r="D27" s="30" t="n">
        <f aca="false">COUNTIF(İlanlar!$B$5:$B$126,A27)</f>
        <v>1</v>
      </c>
      <c r="E27" s="31" t="n">
        <f aca="false">_xlfn.MAXIFS(İlanlar!$Z$5:$Z$126,İlanlar!$B$5:$B$126,A27)</f>
        <v>0.685</v>
      </c>
      <c r="F27" s="22" t="s">
        <v>424</v>
      </c>
      <c r="G27" s="24" t="s">
        <v>429</v>
      </c>
      <c r="H27" s="24" t="s">
        <v>1179</v>
      </c>
    </row>
    <row r="28" customFormat="false" ht="39.75" hidden="false" customHeight="true" outlineLevel="0" collapsed="false">
      <c r="A28" s="22" t="s">
        <v>430</v>
      </c>
      <c r="B28" s="22" t="s">
        <v>1194</v>
      </c>
      <c r="C28" s="22" t="s">
        <v>1195</v>
      </c>
      <c r="D28" s="30" t="n">
        <f aca="false">COUNTIF(İlanlar!$B$5:$B$126,A28)</f>
        <v>2</v>
      </c>
      <c r="E28" s="31" t="n">
        <f aca="false">_xlfn.MAXIFS(İlanlar!$Z$5:$Z$126,İlanlar!$B$5:$B$126,A28)</f>
        <v>0.685</v>
      </c>
      <c r="F28" s="22" t="s">
        <v>1196</v>
      </c>
      <c r="G28" s="24" t="s">
        <v>436</v>
      </c>
      <c r="H28" s="24" t="s">
        <v>1179</v>
      </c>
    </row>
    <row r="29" customFormat="false" ht="39.75" hidden="false" customHeight="true" outlineLevel="0" collapsed="false">
      <c r="A29" s="22" t="s">
        <v>437</v>
      </c>
      <c r="B29" s="22" t="s">
        <v>1172</v>
      </c>
      <c r="C29" s="22" t="s">
        <v>439</v>
      </c>
      <c r="D29" s="30" t="n">
        <f aca="false">COUNTIF(İlanlar!$B$5:$B$126,A29)</f>
        <v>3</v>
      </c>
      <c r="E29" s="31" t="n">
        <f aca="false">_xlfn.MAXIFS(İlanlar!$Z$5:$Z$126,İlanlar!$B$5:$B$126,A29)</f>
        <v>0.685</v>
      </c>
      <c r="F29" s="22" t="s">
        <v>1197</v>
      </c>
      <c r="G29" s="24" t="s">
        <v>446</v>
      </c>
      <c r="H29" s="24" t="s">
        <v>1184</v>
      </c>
    </row>
    <row r="30" customFormat="false" ht="39.75" hidden="false" customHeight="true" outlineLevel="0" collapsed="false">
      <c r="A30" s="22" t="s">
        <v>455</v>
      </c>
      <c r="B30" s="22" t="s">
        <v>1198</v>
      </c>
      <c r="C30" s="22" t="s">
        <v>390</v>
      </c>
      <c r="D30" s="30" t="n">
        <f aca="false">COUNTIF(İlanlar!$B$5:$B$126,A30)</f>
        <v>1</v>
      </c>
      <c r="E30" s="31" t="n">
        <f aca="false">_xlfn.MAXIFS(İlanlar!$Z$5:$Z$126,İlanlar!$B$5:$B$126,A30)</f>
        <v>0.675</v>
      </c>
      <c r="F30" s="22" t="s">
        <v>456</v>
      </c>
      <c r="G30" s="24" t="s">
        <v>463</v>
      </c>
      <c r="H30" s="24" t="s">
        <v>1199</v>
      </c>
    </row>
    <row r="31" customFormat="false" ht="39.75" hidden="false" customHeight="true" outlineLevel="0" collapsed="false">
      <c r="A31" s="22" t="s">
        <v>464</v>
      </c>
      <c r="B31" s="22" t="s">
        <v>1169</v>
      </c>
      <c r="C31" s="22" t="s">
        <v>466</v>
      </c>
      <c r="D31" s="30" t="n">
        <f aca="false">COUNTIF(İlanlar!$B$5:$B$126,A31)</f>
        <v>1</v>
      </c>
      <c r="E31" s="31" t="n">
        <f aca="false">_xlfn.MAXIFS(İlanlar!$Z$5:$Z$126,İlanlar!$B$5:$B$126,A31)</f>
        <v>0.675</v>
      </c>
      <c r="F31" s="22" t="s">
        <v>465</v>
      </c>
      <c r="G31" s="24" t="s">
        <v>472</v>
      </c>
      <c r="H31" s="22"/>
    </row>
    <row r="32" customFormat="false" ht="39.75" hidden="false" customHeight="true" outlineLevel="0" collapsed="false">
      <c r="A32" s="22" t="s">
        <v>473</v>
      </c>
      <c r="B32" s="22" t="s">
        <v>1194</v>
      </c>
      <c r="C32" s="22" t="s">
        <v>466</v>
      </c>
      <c r="D32" s="30" t="n">
        <f aca="false">COUNTIF(İlanlar!$B$5:$B$126,A32)</f>
        <v>1</v>
      </c>
      <c r="E32" s="31" t="n">
        <f aca="false">_xlfn.MAXIFS(İlanlar!$Z$5:$Z$126,İlanlar!$B$5:$B$126,A32)</f>
        <v>0.675</v>
      </c>
      <c r="F32" s="22" t="s">
        <v>474</v>
      </c>
      <c r="G32" s="24" t="s">
        <v>481</v>
      </c>
      <c r="H32" s="22"/>
    </row>
    <row r="33" customFormat="false" ht="39.75" hidden="false" customHeight="true" outlineLevel="0" collapsed="false">
      <c r="A33" s="22" t="s">
        <v>482</v>
      </c>
      <c r="B33" s="22" t="s">
        <v>1169</v>
      </c>
      <c r="C33" s="22" t="s">
        <v>181</v>
      </c>
      <c r="D33" s="30" t="n">
        <f aca="false">COUNTIF(İlanlar!$B$5:$B$126,A33)</f>
        <v>1</v>
      </c>
      <c r="E33" s="31" t="n">
        <f aca="false">_xlfn.MAXIFS(İlanlar!$Z$5:$Z$126,İlanlar!$B$5:$B$126,A33)</f>
        <v>0.66</v>
      </c>
      <c r="F33" s="22" t="s">
        <v>483</v>
      </c>
      <c r="G33" s="24" t="s">
        <v>491</v>
      </c>
      <c r="H33" s="22"/>
    </row>
    <row r="34" customFormat="false" ht="39.75" hidden="false" customHeight="true" outlineLevel="0" collapsed="false">
      <c r="A34" s="22" t="s">
        <v>505</v>
      </c>
      <c r="B34" s="22" t="s">
        <v>1172</v>
      </c>
      <c r="C34" s="22" t="s">
        <v>181</v>
      </c>
      <c r="D34" s="30" t="n">
        <f aca="false">COUNTIF(İlanlar!$B$5:$B$126,A34)</f>
        <v>1</v>
      </c>
      <c r="E34" s="31" t="n">
        <f aca="false">_xlfn.MAXIFS(İlanlar!$Z$5:$Z$126,İlanlar!$B$5:$B$126,A34)</f>
        <v>0.655</v>
      </c>
      <c r="F34" s="22" t="s">
        <v>506</v>
      </c>
      <c r="G34" s="24" t="s">
        <v>513</v>
      </c>
      <c r="H34" s="22"/>
    </row>
    <row r="35" customFormat="false" ht="39.75" hidden="false" customHeight="true" outlineLevel="0" collapsed="false">
      <c r="A35" s="22" t="s">
        <v>526</v>
      </c>
      <c r="B35" s="22" t="s">
        <v>1169</v>
      </c>
      <c r="C35" s="22" t="s">
        <v>1200</v>
      </c>
      <c r="D35" s="30" t="n">
        <f aca="false">COUNTIF(İlanlar!$B$5:$B$126,A35)</f>
        <v>3</v>
      </c>
      <c r="E35" s="31" t="n">
        <f aca="false">_xlfn.MAXIFS(İlanlar!$Z$5:$Z$126,İlanlar!$B$5:$B$126,A35)</f>
        <v>0.64</v>
      </c>
      <c r="F35" s="22" t="s">
        <v>1201</v>
      </c>
      <c r="G35" s="24" t="s">
        <v>535</v>
      </c>
      <c r="H35" s="22"/>
    </row>
    <row r="36" customFormat="false" ht="39.75" hidden="false" customHeight="true" outlineLevel="0" collapsed="false">
      <c r="A36" s="22" t="s">
        <v>536</v>
      </c>
      <c r="B36" s="22" t="s">
        <v>1172</v>
      </c>
      <c r="C36" s="22" t="s">
        <v>390</v>
      </c>
      <c r="D36" s="30" t="n">
        <f aca="false">COUNTIF(İlanlar!$B$5:$B$126,A36)</f>
        <v>1</v>
      </c>
      <c r="E36" s="31" t="n">
        <f aca="false">_xlfn.MAXIFS(İlanlar!$Z$5:$Z$126,İlanlar!$B$5:$B$126,A36)</f>
        <v>0.635</v>
      </c>
      <c r="F36" s="22" t="s">
        <v>537</v>
      </c>
      <c r="G36" s="24" t="s">
        <v>545</v>
      </c>
      <c r="H36" s="22"/>
    </row>
    <row r="37" customFormat="false" ht="39.75" hidden="false" customHeight="true" outlineLevel="0" collapsed="false">
      <c r="A37" s="22" t="s">
        <v>558</v>
      </c>
      <c r="B37" s="22" t="s">
        <v>1168</v>
      </c>
      <c r="C37" s="22" t="s">
        <v>560</v>
      </c>
      <c r="D37" s="30" t="n">
        <f aca="false">COUNTIF(İlanlar!$B$5:$B$126,A37)</f>
        <v>1</v>
      </c>
      <c r="E37" s="31" t="n">
        <f aca="false">_xlfn.MAXIFS(İlanlar!$Z$5:$Z$126,İlanlar!$B$5:$B$126,A37)</f>
        <v>0.625</v>
      </c>
      <c r="F37" s="22" t="s">
        <v>559</v>
      </c>
      <c r="G37" s="24" t="s">
        <v>566</v>
      </c>
      <c r="H37" s="24" t="s">
        <v>1202</v>
      </c>
    </row>
    <row r="38" customFormat="false" ht="39.75" hidden="false" customHeight="true" outlineLevel="0" collapsed="false">
      <c r="A38" s="22" t="s">
        <v>577</v>
      </c>
      <c r="B38" s="22" t="s">
        <v>1194</v>
      </c>
      <c r="C38" s="22" t="s">
        <v>297</v>
      </c>
      <c r="D38" s="30" t="n">
        <f aca="false">COUNTIF(İlanlar!$B$5:$B$126,A38)</f>
        <v>1</v>
      </c>
      <c r="E38" s="31" t="n">
        <f aca="false">_xlfn.MAXIFS(İlanlar!$Z$5:$Z$126,İlanlar!$B$5:$B$126,A38)</f>
        <v>0.625</v>
      </c>
      <c r="F38" s="22" t="s">
        <v>578</v>
      </c>
      <c r="G38" s="24" t="s">
        <v>584</v>
      </c>
      <c r="H38" s="22"/>
    </row>
    <row r="39" customFormat="false" ht="39.75" hidden="false" customHeight="true" outlineLevel="0" collapsed="false">
      <c r="A39" s="22" t="s">
        <v>585</v>
      </c>
      <c r="B39" s="22" t="s">
        <v>1169</v>
      </c>
      <c r="C39" s="22" t="s">
        <v>587</v>
      </c>
      <c r="D39" s="30" t="n">
        <f aca="false">COUNTIF(İlanlar!$B$5:$B$126,A39)</f>
        <v>1</v>
      </c>
      <c r="E39" s="31" t="n">
        <f aca="false">_xlfn.MAXIFS(İlanlar!$Z$5:$Z$126,İlanlar!$B$5:$B$126,A39)</f>
        <v>0.62</v>
      </c>
      <c r="F39" s="22" t="s">
        <v>586</v>
      </c>
      <c r="G39" s="24" t="s">
        <v>594</v>
      </c>
      <c r="H39" s="22"/>
    </row>
    <row r="40" customFormat="false" ht="39.75" hidden="false" customHeight="true" outlineLevel="0" collapsed="false">
      <c r="A40" s="22" t="s">
        <v>604</v>
      </c>
      <c r="B40" s="22" t="s">
        <v>1172</v>
      </c>
      <c r="C40" s="22" t="s">
        <v>390</v>
      </c>
      <c r="D40" s="30" t="n">
        <f aca="false">COUNTIF(İlanlar!$B$5:$B$126,A40)</f>
        <v>1</v>
      </c>
      <c r="E40" s="31" t="n">
        <f aca="false">_xlfn.MAXIFS(İlanlar!$Z$5:$Z$126,İlanlar!$B$5:$B$126,A40)</f>
        <v>0.615</v>
      </c>
      <c r="F40" s="22" t="s">
        <v>605</v>
      </c>
      <c r="G40" s="24" t="s">
        <v>611</v>
      </c>
      <c r="H40" s="24" t="s">
        <v>1203</v>
      </c>
    </row>
    <row r="41" customFormat="false" ht="39.75" hidden="false" customHeight="true" outlineLevel="0" collapsed="false">
      <c r="A41" s="22" t="s">
        <v>612</v>
      </c>
      <c r="B41" s="22" t="s">
        <v>1169</v>
      </c>
      <c r="C41" s="22" t="s">
        <v>1204</v>
      </c>
      <c r="D41" s="30" t="n">
        <f aca="false">COUNTIF(İlanlar!$B$5:$B$126,A41)</f>
        <v>2</v>
      </c>
      <c r="E41" s="31" t="n">
        <f aca="false">_xlfn.MAXIFS(İlanlar!$Z$5:$Z$126,İlanlar!$B$5:$B$126,A41)</f>
        <v>0.615</v>
      </c>
      <c r="F41" s="22" t="s">
        <v>1205</v>
      </c>
      <c r="G41" s="24" t="s">
        <v>622</v>
      </c>
      <c r="H41" s="24" t="s">
        <v>1206</v>
      </c>
    </row>
    <row r="42" customFormat="false" ht="39.75" hidden="false" customHeight="true" outlineLevel="0" collapsed="false">
      <c r="A42" s="22" t="s">
        <v>623</v>
      </c>
      <c r="B42" s="22" t="s">
        <v>1169</v>
      </c>
      <c r="C42" s="22" t="s">
        <v>1207</v>
      </c>
      <c r="D42" s="30" t="n">
        <f aca="false">COUNTIF(İlanlar!$B$5:$B$126,A42)</f>
        <v>3</v>
      </c>
      <c r="E42" s="31" t="n">
        <f aca="false">_xlfn.MAXIFS(İlanlar!$Z$5:$Z$126,İlanlar!$B$5:$B$126,A42)</f>
        <v>0.615</v>
      </c>
      <c r="F42" s="22" t="s">
        <v>1208</v>
      </c>
      <c r="G42" s="24" t="s">
        <v>631</v>
      </c>
      <c r="H42" s="24" t="s">
        <v>1209</v>
      </c>
    </row>
    <row r="43" customFormat="false" ht="39.75" hidden="false" customHeight="true" outlineLevel="0" collapsed="false">
      <c r="A43" s="22" t="s">
        <v>639</v>
      </c>
      <c r="B43" s="22" t="s">
        <v>1172</v>
      </c>
      <c r="C43" s="22" t="s">
        <v>258</v>
      </c>
      <c r="D43" s="30" t="n">
        <f aca="false">COUNTIF(İlanlar!$B$5:$B$126,A43)</f>
        <v>1</v>
      </c>
      <c r="E43" s="31" t="n">
        <f aca="false">_xlfn.MAXIFS(İlanlar!$Z$5:$Z$126,İlanlar!$B$5:$B$126,A43)</f>
        <v>0.615</v>
      </c>
      <c r="F43" s="22" t="s">
        <v>640</v>
      </c>
      <c r="G43" s="24" t="s">
        <v>644</v>
      </c>
      <c r="H43" s="24" t="s">
        <v>1203</v>
      </c>
    </row>
    <row r="44" customFormat="false" ht="39.75" hidden="false" customHeight="true" outlineLevel="0" collapsed="false">
      <c r="A44" s="22" t="s">
        <v>651</v>
      </c>
      <c r="B44" s="22" t="s">
        <v>1168</v>
      </c>
      <c r="C44" s="22" t="s">
        <v>653</v>
      </c>
      <c r="D44" s="30" t="n">
        <f aca="false">COUNTIF(İlanlar!$B$5:$B$126,A44)</f>
        <v>1</v>
      </c>
      <c r="E44" s="31" t="n">
        <f aca="false">_xlfn.MAXIFS(İlanlar!$Z$5:$Z$126,İlanlar!$B$5:$B$126,A44)</f>
        <v>0.61</v>
      </c>
      <c r="F44" s="22" t="s">
        <v>652</v>
      </c>
      <c r="G44" s="24" t="s">
        <v>659</v>
      </c>
      <c r="H44" s="22"/>
    </row>
    <row r="45" customFormat="false" ht="39.75" hidden="false" customHeight="true" outlineLevel="0" collapsed="false">
      <c r="A45" s="22" t="s">
        <v>660</v>
      </c>
      <c r="B45" s="22" t="s">
        <v>1168</v>
      </c>
      <c r="C45" s="22" t="s">
        <v>662</v>
      </c>
      <c r="D45" s="30" t="n">
        <f aca="false">COUNTIF(İlanlar!$B$5:$B$126,A45)</f>
        <v>2</v>
      </c>
      <c r="E45" s="31" t="n">
        <f aca="false">_xlfn.MAXIFS(İlanlar!$Z$5:$Z$126,İlanlar!$B$5:$B$126,A45)</f>
        <v>0.61</v>
      </c>
      <c r="F45" s="22" t="s">
        <v>1210</v>
      </c>
      <c r="G45" s="24" t="s">
        <v>668</v>
      </c>
      <c r="H45" s="22"/>
    </row>
    <row r="46" customFormat="false" ht="39.75" hidden="false" customHeight="true" outlineLevel="0" collapsed="false">
      <c r="A46" s="22" t="s">
        <v>669</v>
      </c>
      <c r="B46" s="22" t="s">
        <v>1164</v>
      </c>
      <c r="C46" s="22" t="s">
        <v>1211</v>
      </c>
      <c r="D46" s="30" t="n">
        <f aca="false">COUNTIF(İlanlar!$B$5:$B$126,A46)</f>
        <v>2</v>
      </c>
      <c r="E46" s="31" t="n">
        <f aca="false">_xlfn.MAXIFS(İlanlar!$Z$5:$Z$126,İlanlar!$B$5:$B$126,A46)</f>
        <v>0.61</v>
      </c>
      <c r="F46" s="22" t="s">
        <v>1212</v>
      </c>
      <c r="G46" s="24" t="s">
        <v>679</v>
      </c>
      <c r="H46" s="22"/>
    </row>
    <row r="47" customFormat="false" ht="39.75" hidden="false" customHeight="true" outlineLevel="0" collapsed="false">
      <c r="A47" s="22" t="s">
        <v>680</v>
      </c>
      <c r="B47" s="22" t="s">
        <v>1194</v>
      </c>
      <c r="C47" s="22" t="s">
        <v>297</v>
      </c>
      <c r="D47" s="30" t="n">
        <f aca="false">COUNTIF(İlanlar!$B$5:$B$126,A47)</f>
        <v>1</v>
      </c>
      <c r="E47" s="31" t="n">
        <f aca="false">_xlfn.MAXIFS(İlanlar!$Z$5:$Z$126,İlanlar!$B$5:$B$126,A47)</f>
        <v>0.61</v>
      </c>
      <c r="F47" s="22" t="s">
        <v>681</v>
      </c>
      <c r="G47" s="24" t="s">
        <v>688</v>
      </c>
      <c r="H47" s="24" t="s">
        <v>1179</v>
      </c>
    </row>
    <row r="48" customFormat="false" ht="39.75" hidden="false" customHeight="true" outlineLevel="0" collapsed="false">
      <c r="A48" s="22" t="s">
        <v>689</v>
      </c>
      <c r="B48" s="22" t="s">
        <v>1194</v>
      </c>
      <c r="C48" s="22" t="s">
        <v>390</v>
      </c>
      <c r="D48" s="30" t="n">
        <f aca="false">COUNTIF(İlanlar!$B$5:$B$126,A48)</f>
        <v>3</v>
      </c>
      <c r="E48" s="31" t="n">
        <f aca="false">_xlfn.MAXIFS(İlanlar!$Z$5:$Z$126,İlanlar!$B$5:$B$126,A48)</f>
        <v>0.605</v>
      </c>
      <c r="F48" s="22" t="s">
        <v>1213</v>
      </c>
      <c r="G48" s="24" t="s">
        <v>697</v>
      </c>
      <c r="H48" s="24" t="s">
        <v>1179</v>
      </c>
    </row>
    <row r="49" customFormat="false" ht="39.75" hidden="false" customHeight="true" outlineLevel="0" collapsed="false">
      <c r="A49" s="22" t="s">
        <v>716</v>
      </c>
      <c r="B49" s="22" t="s">
        <v>1168</v>
      </c>
      <c r="C49" s="22" t="s">
        <v>718</v>
      </c>
      <c r="D49" s="30" t="n">
        <f aca="false">COUNTIF(İlanlar!$B$5:$B$126,A49)</f>
        <v>1</v>
      </c>
      <c r="E49" s="31" t="n">
        <f aca="false">_xlfn.MAXIFS(İlanlar!$Z$5:$Z$126,İlanlar!$B$5:$B$126,A49)</f>
        <v>0.6</v>
      </c>
      <c r="F49" s="22" t="s">
        <v>717</v>
      </c>
      <c r="G49" s="24" t="s">
        <v>722</v>
      </c>
      <c r="H49" s="24" t="s">
        <v>1214</v>
      </c>
    </row>
    <row r="50" customFormat="false" ht="39.75" hidden="false" customHeight="true" outlineLevel="0" collapsed="false">
      <c r="A50" s="22" t="s">
        <v>729</v>
      </c>
      <c r="B50" s="22" t="s">
        <v>1164</v>
      </c>
      <c r="C50" s="22" t="s">
        <v>731</v>
      </c>
      <c r="D50" s="30" t="n">
        <f aca="false">COUNTIF(İlanlar!$B$5:$B$126,A50)</f>
        <v>1</v>
      </c>
      <c r="E50" s="31" t="n">
        <f aca="false">_xlfn.MAXIFS(İlanlar!$Z$5:$Z$126,İlanlar!$B$5:$B$126,A50)</f>
        <v>0.6</v>
      </c>
      <c r="F50" s="22" t="s">
        <v>730</v>
      </c>
      <c r="G50" s="24" t="s">
        <v>737</v>
      </c>
      <c r="H50" s="22"/>
    </row>
    <row r="51" customFormat="false" ht="39.75" hidden="false" customHeight="true" outlineLevel="0" collapsed="false">
      <c r="A51" s="22" t="s">
        <v>747</v>
      </c>
      <c r="B51" s="22" t="s">
        <v>1194</v>
      </c>
      <c r="C51" s="22" t="s">
        <v>390</v>
      </c>
      <c r="D51" s="30" t="n">
        <f aca="false">COUNTIF(İlanlar!$B$5:$B$126,A51)</f>
        <v>1</v>
      </c>
      <c r="E51" s="31" t="n">
        <f aca="false">_xlfn.MAXIFS(İlanlar!$Z$5:$Z$126,İlanlar!$B$5:$B$126,A51)</f>
        <v>0.595</v>
      </c>
      <c r="F51" s="22" t="s">
        <v>748</v>
      </c>
      <c r="G51" s="24" t="s">
        <v>754</v>
      </c>
      <c r="H51" s="24" t="s">
        <v>1179</v>
      </c>
    </row>
    <row r="52" customFormat="false" ht="39.75" hidden="false" customHeight="true" outlineLevel="0" collapsed="false">
      <c r="A52" s="22" t="s">
        <v>776</v>
      </c>
      <c r="B52" s="22" t="s">
        <v>1164</v>
      </c>
      <c r="C52" s="22" t="s">
        <v>268</v>
      </c>
      <c r="D52" s="30" t="n">
        <f aca="false">COUNTIF(İlanlar!$B$5:$B$126,A52)</f>
        <v>1</v>
      </c>
      <c r="E52" s="31" t="n">
        <f aca="false">_xlfn.MAXIFS(İlanlar!$Z$5:$Z$126,İlanlar!$B$5:$B$126,A52)</f>
        <v>0.595</v>
      </c>
      <c r="F52" s="22" t="s">
        <v>777</v>
      </c>
      <c r="G52" s="24" t="s">
        <v>784</v>
      </c>
      <c r="H52" s="22"/>
    </row>
    <row r="53" customFormat="false" ht="39.75" hidden="false" customHeight="true" outlineLevel="0" collapsed="false">
      <c r="A53" s="22" t="s">
        <v>785</v>
      </c>
      <c r="B53" s="22" t="s">
        <v>1168</v>
      </c>
      <c r="C53" s="22" t="s">
        <v>787</v>
      </c>
      <c r="D53" s="30" t="n">
        <f aca="false">COUNTIF(İlanlar!$B$5:$B$126,A53)</f>
        <v>1</v>
      </c>
      <c r="E53" s="31" t="n">
        <f aca="false">_xlfn.MAXIFS(İlanlar!$Z$5:$Z$126,İlanlar!$B$5:$B$126,A53)</f>
        <v>0.59</v>
      </c>
      <c r="F53" s="22" t="s">
        <v>786</v>
      </c>
      <c r="G53" s="24" t="s">
        <v>795</v>
      </c>
      <c r="H53" s="24" t="s">
        <v>1215</v>
      </c>
    </row>
    <row r="54" customFormat="false" ht="39.75" hidden="false" customHeight="true" outlineLevel="0" collapsed="false">
      <c r="A54" s="22" t="s">
        <v>796</v>
      </c>
      <c r="B54" s="22" t="s">
        <v>1169</v>
      </c>
      <c r="C54" s="22" t="s">
        <v>798</v>
      </c>
      <c r="D54" s="30" t="n">
        <f aca="false">COUNTIF(İlanlar!$B$5:$B$126,A54)</f>
        <v>1</v>
      </c>
      <c r="E54" s="31" t="n">
        <f aca="false">_xlfn.MAXIFS(İlanlar!$Z$5:$Z$126,İlanlar!$B$5:$B$126,A54)</f>
        <v>0.59</v>
      </c>
      <c r="F54" s="22" t="s">
        <v>797</v>
      </c>
      <c r="G54" s="24" t="s">
        <v>805</v>
      </c>
      <c r="H54" s="22"/>
    </row>
    <row r="55" customFormat="false" ht="39.75" hidden="false" customHeight="true" outlineLevel="0" collapsed="false">
      <c r="A55" s="22" t="s">
        <v>806</v>
      </c>
      <c r="B55" s="22" t="s">
        <v>1198</v>
      </c>
      <c r="C55" s="22" t="s">
        <v>808</v>
      </c>
      <c r="D55" s="30" t="n">
        <f aca="false">COUNTIF(İlanlar!$B$5:$B$126,A55)</f>
        <v>1</v>
      </c>
      <c r="E55" s="31" t="n">
        <f aca="false">_xlfn.MAXIFS(İlanlar!$Z$5:$Z$126,İlanlar!$B$5:$B$126,A55)</f>
        <v>0.59</v>
      </c>
      <c r="F55" s="22" t="s">
        <v>807</v>
      </c>
      <c r="G55" s="24" t="s">
        <v>815</v>
      </c>
      <c r="H55" s="22"/>
    </row>
    <row r="56" customFormat="false" ht="39.75" hidden="false" customHeight="true" outlineLevel="0" collapsed="false">
      <c r="A56" s="22" t="s">
        <v>816</v>
      </c>
      <c r="B56" s="22" t="s">
        <v>1172</v>
      </c>
      <c r="C56" s="22" t="s">
        <v>258</v>
      </c>
      <c r="D56" s="30" t="n">
        <f aca="false">COUNTIF(İlanlar!$B$5:$B$126,A56)</f>
        <v>1</v>
      </c>
      <c r="E56" s="31" t="n">
        <f aca="false">_xlfn.MAXIFS(İlanlar!$Z$5:$Z$126,İlanlar!$B$5:$B$126,A56)</f>
        <v>0.585</v>
      </c>
      <c r="F56" s="22" t="s">
        <v>817</v>
      </c>
      <c r="G56" s="24" t="s">
        <v>823</v>
      </c>
      <c r="H56" s="22"/>
    </row>
    <row r="57" customFormat="false" ht="39.75" hidden="false" customHeight="true" outlineLevel="0" collapsed="false">
      <c r="A57" s="22" t="s">
        <v>851</v>
      </c>
      <c r="B57" s="22" t="s">
        <v>1169</v>
      </c>
      <c r="C57" s="22" t="s">
        <v>853</v>
      </c>
      <c r="D57" s="30" t="n">
        <f aca="false">COUNTIF(İlanlar!$B$5:$B$126,A57)</f>
        <v>1</v>
      </c>
      <c r="E57" s="31" t="n">
        <f aca="false">_xlfn.MAXIFS(İlanlar!$Z$5:$Z$126,İlanlar!$B$5:$B$126,A57)</f>
        <v>0.58</v>
      </c>
      <c r="F57" s="22" t="s">
        <v>852</v>
      </c>
      <c r="G57" s="24" t="s">
        <v>859</v>
      </c>
      <c r="H57" s="22"/>
    </row>
    <row r="58" customFormat="false" ht="39.75" hidden="false" customHeight="true" outlineLevel="0" collapsed="false">
      <c r="A58" s="22" t="s">
        <v>860</v>
      </c>
      <c r="B58" s="22" t="s">
        <v>1172</v>
      </c>
      <c r="C58" s="22" t="s">
        <v>297</v>
      </c>
      <c r="D58" s="30" t="n">
        <f aca="false">COUNTIF(İlanlar!$B$5:$B$126,A58)</f>
        <v>1</v>
      </c>
      <c r="E58" s="31" t="n">
        <f aca="false">_xlfn.MAXIFS(İlanlar!$Z$5:$Z$126,İlanlar!$B$5:$B$126,A58)</f>
        <v>0.58</v>
      </c>
      <c r="F58" s="22" t="s">
        <v>861</v>
      </c>
      <c r="G58" s="24" t="s">
        <v>866</v>
      </c>
      <c r="H58" s="22"/>
    </row>
    <row r="59" customFormat="false" ht="39.75" hidden="false" customHeight="true" outlineLevel="0" collapsed="false">
      <c r="A59" s="22" t="s">
        <v>874</v>
      </c>
      <c r="B59" s="22" t="s">
        <v>1168</v>
      </c>
      <c r="C59" s="22" t="s">
        <v>876</v>
      </c>
      <c r="D59" s="30" t="n">
        <f aca="false">COUNTIF(İlanlar!$B$5:$B$126,A59)</f>
        <v>2</v>
      </c>
      <c r="E59" s="31" t="n">
        <f aca="false">_xlfn.MAXIFS(İlanlar!$Z$5:$Z$126,İlanlar!$B$5:$B$126,A59)</f>
        <v>0.58</v>
      </c>
      <c r="F59" s="22" t="s">
        <v>1216</v>
      </c>
      <c r="G59" s="24" t="s">
        <v>884</v>
      </c>
      <c r="H59" s="22"/>
    </row>
    <row r="60" customFormat="false" ht="39.75" hidden="false" customHeight="true" outlineLevel="0" collapsed="false">
      <c r="A60" s="22" t="s">
        <v>885</v>
      </c>
      <c r="B60" s="22" t="s">
        <v>1194</v>
      </c>
      <c r="C60" s="22" t="s">
        <v>390</v>
      </c>
      <c r="D60" s="30" t="n">
        <f aca="false">COUNTIF(İlanlar!$B$5:$B$126,A60)</f>
        <v>1</v>
      </c>
      <c r="E60" s="31" t="n">
        <f aca="false">_xlfn.MAXIFS(İlanlar!$Z$5:$Z$126,İlanlar!$B$5:$B$126,A60)</f>
        <v>0.575</v>
      </c>
      <c r="F60" s="22" t="s">
        <v>886</v>
      </c>
      <c r="G60" s="24" t="s">
        <v>892</v>
      </c>
      <c r="H60" s="22"/>
    </row>
    <row r="61" customFormat="false" ht="39.75" hidden="false" customHeight="true" outlineLevel="0" collapsed="false">
      <c r="A61" s="22" t="s">
        <v>898</v>
      </c>
      <c r="B61" s="22" t="s">
        <v>1169</v>
      </c>
      <c r="C61" s="22" t="s">
        <v>258</v>
      </c>
      <c r="D61" s="30" t="n">
        <f aca="false">COUNTIF(İlanlar!$B$5:$B$126,A61)</f>
        <v>1</v>
      </c>
      <c r="E61" s="31" t="n">
        <f aca="false">_xlfn.MAXIFS(İlanlar!$Z$5:$Z$126,İlanlar!$B$5:$B$126,A61)</f>
        <v>0.575</v>
      </c>
      <c r="F61" s="22" t="s">
        <v>899</v>
      </c>
      <c r="G61" s="24" t="s">
        <v>905</v>
      </c>
      <c r="H61" s="24" t="s">
        <v>1217</v>
      </c>
    </row>
    <row r="62" customFormat="false" ht="39.75" hidden="false" customHeight="true" outlineLevel="0" collapsed="false">
      <c r="A62" s="22" t="s">
        <v>912</v>
      </c>
      <c r="B62" s="22" t="s">
        <v>1169</v>
      </c>
      <c r="C62" s="22" t="s">
        <v>1218</v>
      </c>
      <c r="D62" s="30" t="n">
        <f aca="false">COUNTIF(İlanlar!$B$5:$B$126,A62)</f>
        <v>2</v>
      </c>
      <c r="E62" s="31" t="n">
        <f aca="false">_xlfn.MAXIFS(İlanlar!$Z$5:$Z$126,İlanlar!$B$5:$B$126,A62)</f>
        <v>0.57</v>
      </c>
      <c r="F62" s="22" t="s">
        <v>1219</v>
      </c>
      <c r="G62" s="24" t="s">
        <v>921</v>
      </c>
      <c r="H62" s="22"/>
    </row>
    <row r="63" customFormat="false" ht="39.75" hidden="false" customHeight="true" outlineLevel="0" collapsed="false">
      <c r="A63" s="22" t="s">
        <v>922</v>
      </c>
      <c r="B63" s="22" t="s">
        <v>1220</v>
      </c>
      <c r="C63" s="22" t="s">
        <v>924</v>
      </c>
      <c r="D63" s="30" t="n">
        <f aca="false">COUNTIF(İlanlar!$B$5:$B$126,A63)</f>
        <v>1</v>
      </c>
      <c r="E63" s="31" t="n">
        <f aca="false">_xlfn.MAXIFS(İlanlar!$Z$5:$Z$126,İlanlar!$B$5:$B$126,A63)</f>
        <v>0.57</v>
      </c>
      <c r="F63" s="22" t="s">
        <v>923</v>
      </c>
      <c r="G63" s="24" t="s">
        <v>931</v>
      </c>
      <c r="H63" s="22"/>
    </row>
    <row r="64" customFormat="false" ht="39.75" hidden="false" customHeight="true" outlineLevel="0" collapsed="false">
      <c r="A64" s="22" t="s">
        <v>952</v>
      </c>
      <c r="B64" s="22" t="s">
        <v>1168</v>
      </c>
      <c r="C64" s="22" t="s">
        <v>380</v>
      </c>
      <c r="D64" s="30" t="n">
        <f aca="false">COUNTIF(İlanlar!$B$5:$B$126,A64)</f>
        <v>1</v>
      </c>
      <c r="E64" s="31" t="n">
        <f aca="false">_xlfn.MAXIFS(İlanlar!$Z$5:$Z$126,İlanlar!$B$5:$B$126,A64)</f>
        <v>0.56</v>
      </c>
      <c r="F64" s="22" t="s">
        <v>953</v>
      </c>
      <c r="G64" s="24" t="s">
        <v>958</v>
      </c>
      <c r="H64" s="24" t="s">
        <v>1221</v>
      </c>
    </row>
    <row r="65" customFormat="false" ht="39.75" hidden="false" customHeight="true" outlineLevel="0" collapsed="false">
      <c r="A65" s="22" t="s">
        <v>959</v>
      </c>
      <c r="B65" s="22" t="s">
        <v>1168</v>
      </c>
      <c r="C65" s="22" t="s">
        <v>961</v>
      </c>
      <c r="D65" s="30" t="n">
        <f aca="false">COUNTIF(İlanlar!$B$5:$B$126,A65)</f>
        <v>1</v>
      </c>
      <c r="E65" s="31" t="n">
        <f aca="false">_xlfn.MAXIFS(İlanlar!$Z$5:$Z$126,İlanlar!$B$5:$B$126,A65)</f>
        <v>0.56</v>
      </c>
      <c r="F65" s="22" t="s">
        <v>960</v>
      </c>
      <c r="G65" s="24" t="s">
        <v>969</v>
      </c>
      <c r="H65" s="24" t="s">
        <v>1179</v>
      </c>
    </row>
    <row r="66" customFormat="false" ht="39.75" hidden="false" customHeight="true" outlineLevel="0" collapsed="false">
      <c r="A66" s="22" t="s">
        <v>970</v>
      </c>
      <c r="B66" s="22" t="s">
        <v>1169</v>
      </c>
      <c r="C66" s="22" t="s">
        <v>348</v>
      </c>
      <c r="D66" s="30" t="n">
        <f aca="false">COUNTIF(İlanlar!$B$5:$B$126,A66)</f>
        <v>1</v>
      </c>
      <c r="E66" s="31" t="n">
        <f aca="false">_xlfn.MAXIFS(İlanlar!$Z$5:$Z$126,İlanlar!$B$5:$B$126,A66)</f>
        <v>0.56</v>
      </c>
      <c r="F66" s="22" t="s">
        <v>971</v>
      </c>
      <c r="G66" s="24" t="s">
        <v>977</v>
      </c>
      <c r="H66" s="22"/>
    </row>
    <row r="67" customFormat="false" ht="39.75" hidden="false" customHeight="true" outlineLevel="0" collapsed="false">
      <c r="A67" s="22" t="s">
        <v>978</v>
      </c>
      <c r="B67" s="22" t="s">
        <v>1172</v>
      </c>
      <c r="C67" s="22" t="s">
        <v>798</v>
      </c>
      <c r="D67" s="30" t="n">
        <f aca="false">COUNTIF(İlanlar!$B$5:$B$126,A67)</f>
        <v>1</v>
      </c>
      <c r="E67" s="31" t="n">
        <f aca="false">_xlfn.MAXIFS(İlanlar!$Z$5:$Z$126,İlanlar!$B$5:$B$126,A67)</f>
        <v>0.56</v>
      </c>
      <c r="F67" s="22" t="s">
        <v>979</v>
      </c>
      <c r="G67" s="24" t="s">
        <v>983</v>
      </c>
      <c r="H67" s="24" t="s">
        <v>1184</v>
      </c>
    </row>
    <row r="68" customFormat="false" ht="39.75" hidden="false" customHeight="true" outlineLevel="0" collapsed="false">
      <c r="A68" s="22" t="s">
        <v>984</v>
      </c>
      <c r="B68" s="22" t="s">
        <v>1164</v>
      </c>
      <c r="C68" s="22" t="s">
        <v>181</v>
      </c>
      <c r="D68" s="30" t="n">
        <f aca="false">COUNTIF(İlanlar!$B$5:$B$126,A68)</f>
        <v>1</v>
      </c>
      <c r="E68" s="31" t="n">
        <f aca="false">_xlfn.MAXIFS(İlanlar!$Z$5:$Z$126,İlanlar!$B$5:$B$126,A68)</f>
        <v>0.555</v>
      </c>
      <c r="F68" s="22" t="s">
        <v>985</v>
      </c>
      <c r="G68" s="24" t="s">
        <v>992</v>
      </c>
      <c r="H68" s="22"/>
    </row>
    <row r="69" customFormat="false" ht="39.75" hidden="false" customHeight="true" outlineLevel="0" collapsed="false">
      <c r="A69" s="22" t="s">
        <v>993</v>
      </c>
      <c r="B69" s="22" t="s">
        <v>1164</v>
      </c>
      <c r="C69" s="22" t="s">
        <v>297</v>
      </c>
      <c r="D69" s="30" t="n">
        <f aca="false">COUNTIF(İlanlar!$B$5:$B$126,A69)</f>
        <v>1</v>
      </c>
      <c r="E69" s="31" t="n">
        <f aca="false">_xlfn.MAXIFS(İlanlar!$Z$5:$Z$126,İlanlar!$B$5:$B$126,A69)</f>
        <v>0.55</v>
      </c>
      <c r="F69" s="22" t="s">
        <v>994</v>
      </c>
      <c r="G69" s="24" t="s">
        <v>999</v>
      </c>
      <c r="H69" s="24" t="s">
        <v>1179</v>
      </c>
    </row>
    <row r="70" customFormat="false" ht="39.75" hidden="false" customHeight="true" outlineLevel="0" collapsed="false">
      <c r="A70" s="22" t="s">
        <v>1000</v>
      </c>
      <c r="B70" s="22" t="s">
        <v>1168</v>
      </c>
      <c r="C70" s="22" t="s">
        <v>1001</v>
      </c>
      <c r="D70" s="30" t="n">
        <f aca="false">COUNTIF(İlanlar!$B$5:$B$126,A70)</f>
        <v>1</v>
      </c>
      <c r="E70" s="31" t="n">
        <f aca="false">_xlfn.MAXIFS(İlanlar!$Z$5:$Z$126,İlanlar!$B$5:$B$126,A70)</f>
        <v>0.55</v>
      </c>
      <c r="F70" s="22" t="s">
        <v>514</v>
      </c>
      <c r="G70" s="24" t="s">
        <v>1008</v>
      </c>
      <c r="H70" s="22"/>
    </row>
    <row r="71" customFormat="false" ht="39.75" hidden="false" customHeight="true" outlineLevel="0" collapsed="false">
      <c r="A71" s="22" t="s">
        <v>1015</v>
      </c>
      <c r="B71" s="22" t="s">
        <v>1164</v>
      </c>
      <c r="C71" s="22" t="s">
        <v>297</v>
      </c>
      <c r="D71" s="30" t="n">
        <f aca="false">COUNTIF(İlanlar!$B$5:$B$126,A71)</f>
        <v>1</v>
      </c>
      <c r="E71" s="31" t="n">
        <f aca="false">_xlfn.MAXIFS(İlanlar!$Z$5:$Z$126,İlanlar!$B$5:$B$126,A71)</f>
        <v>0.54</v>
      </c>
      <c r="F71" s="22" t="s">
        <v>1016</v>
      </c>
      <c r="G71" s="24" t="s">
        <v>1023</v>
      </c>
      <c r="H71" s="22"/>
    </row>
    <row r="72" customFormat="false" ht="39.75" hidden="false" customHeight="true" outlineLevel="0" collapsed="false">
      <c r="A72" s="22" t="s">
        <v>1036</v>
      </c>
      <c r="B72" s="22" t="s">
        <v>1164</v>
      </c>
      <c r="C72" s="22" t="s">
        <v>258</v>
      </c>
      <c r="D72" s="30" t="n">
        <f aca="false">COUNTIF(İlanlar!$B$5:$B$126,A72)</f>
        <v>1</v>
      </c>
      <c r="E72" s="31" t="n">
        <f aca="false">_xlfn.MAXIFS(İlanlar!$Z$5:$Z$126,İlanlar!$B$5:$B$126,A72)</f>
        <v>0.53</v>
      </c>
      <c r="F72" s="22" t="s">
        <v>1037</v>
      </c>
      <c r="G72" s="24" t="s">
        <v>1043</v>
      </c>
      <c r="H72" s="22"/>
    </row>
    <row r="73" customFormat="false" ht="39.75" hidden="false" customHeight="true" outlineLevel="0" collapsed="false">
      <c r="A73" s="22" t="s">
        <v>1044</v>
      </c>
      <c r="B73" s="22" t="s">
        <v>1168</v>
      </c>
      <c r="C73" s="22" t="s">
        <v>1046</v>
      </c>
      <c r="D73" s="30" t="n">
        <f aca="false">COUNTIF(İlanlar!$B$5:$B$126,A73)</f>
        <v>1</v>
      </c>
      <c r="E73" s="31" t="n">
        <f aca="false">_xlfn.MAXIFS(İlanlar!$Z$5:$Z$126,İlanlar!$B$5:$B$126,A73)</f>
        <v>0.53</v>
      </c>
      <c r="F73" s="22" t="s">
        <v>1045</v>
      </c>
      <c r="G73" s="24" t="s">
        <v>1052</v>
      </c>
      <c r="H73" s="24" t="s">
        <v>1222</v>
      </c>
    </row>
    <row r="74" customFormat="false" ht="39.75" hidden="false" customHeight="true" outlineLevel="0" collapsed="false">
      <c r="A74" s="22" t="s">
        <v>1059</v>
      </c>
      <c r="B74" s="22" t="s">
        <v>1198</v>
      </c>
      <c r="C74" s="22" t="s">
        <v>1061</v>
      </c>
      <c r="D74" s="30" t="n">
        <f aca="false">COUNTIF(İlanlar!$B$5:$B$126,A74)</f>
        <v>1</v>
      </c>
      <c r="E74" s="31" t="n">
        <f aca="false">_xlfn.MAXIFS(İlanlar!$Z$5:$Z$126,İlanlar!$B$5:$B$126,A74)</f>
        <v>0.525</v>
      </c>
      <c r="F74" s="22" t="s">
        <v>1060</v>
      </c>
      <c r="G74" s="24" t="s">
        <v>1066</v>
      </c>
      <c r="H74" s="22"/>
    </row>
    <row r="75" customFormat="false" ht="39.75" hidden="false" customHeight="true" outlineLevel="0" collapsed="false">
      <c r="A75" s="22" t="s">
        <v>1075</v>
      </c>
      <c r="B75" s="22" t="s">
        <v>1164</v>
      </c>
      <c r="C75" s="22" t="s">
        <v>1077</v>
      </c>
      <c r="D75" s="30" t="n">
        <f aca="false">COUNTIF(İlanlar!$B$5:$B$126,A75)</f>
        <v>1</v>
      </c>
      <c r="E75" s="31" t="n">
        <f aca="false">_xlfn.MAXIFS(İlanlar!$Z$5:$Z$126,İlanlar!$B$5:$B$126,A75)</f>
        <v>0.52</v>
      </c>
      <c r="F75" s="22" t="s">
        <v>1076</v>
      </c>
      <c r="G75" s="24" t="s">
        <v>1081</v>
      </c>
      <c r="H75" s="22"/>
    </row>
    <row r="76" customFormat="false" ht="39.75" hidden="false" customHeight="true" outlineLevel="0" collapsed="false">
      <c r="A76" s="22" t="s">
        <v>1095</v>
      </c>
      <c r="B76" s="22" t="s">
        <v>1198</v>
      </c>
      <c r="C76" s="22" t="s">
        <v>914</v>
      </c>
      <c r="D76" s="30" t="n">
        <f aca="false">COUNTIF(İlanlar!$B$5:$B$126,A76)</f>
        <v>1</v>
      </c>
      <c r="E76" s="31" t="n">
        <f aca="false">_xlfn.MAXIFS(İlanlar!$Z$5:$Z$126,İlanlar!$B$5:$B$126,A76)</f>
        <v>0.505</v>
      </c>
      <c r="F76" s="22" t="s">
        <v>1096</v>
      </c>
      <c r="G76" s="24" t="s">
        <v>1103</v>
      </c>
      <c r="H76" s="22"/>
    </row>
    <row r="77" customFormat="false" ht="39.75" hidden="false" customHeight="true" outlineLevel="0" collapsed="false">
      <c r="A77" s="22" t="s">
        <v>1104</v>
      </c>
      <c r="B77" s="22" t="s">
        <v>1169</v>
      </c>
      <c r="C77" s="22" t="s">
        <v>1106</v>
      </c>
      <c r="D77" s="30" t="n">
        <f aca="false">COUNTIF(İlanlar!$B$5:$B$126,A77)</f>
        <v>1</v>
      </c>
      <c r="E77" s="31" t="n">
        <f aca="false">_xlfn.MAXIFS(İlanlar!$Z$5:$Z$126,İlanlar!$B$5:$B$126,A77)</f>
        <v>0.505</v>
      </c>
      <c r="F77" s="22" t="s">
        <v>1105</v>
      </c>
      <c r="G77" s="24" t="s">
        <v>1112</v>
      </c>
      <c r="H77" s="22"/>
    </row>
    <row r="78" customFormat="false" ht="39.75" hidden="false" customHeight="true" outlineLevel="0" collapsed="false">
      <c r="A78" s="22" t="s">
        <v>1113</v>
      </c>
      <c r="B78" s="22" t="s">
        <v>1169</v>
      </c>
      <c r="C78" s="22" t="s">
        <v>1115</v>
      </c>
      <c r="D78" s="30" t="n">
        <f aca="false">COUNTIF(İlanlar!$B$5:$B$126,A78)</f>
        <v>1</v>
      </c>
      <c r="E78" s="31" t="n">
        <f aca="false">_xlfn.MAXIFS(İlanlar!$Z$5:$Z$126,İlanlar!$B$5:$B$126,A78)</f>
        <v>0.5</v>
      </c>
      <c r="F78" s="22" t="s">
        <v>1114</v>
      </c>
      <c r="G78" s="24" t="s">
        <v>1121</v>
      </c>
      <c r="H78" s="22"/>
    </row>
    <row r="79" customFormat="false" ht="39.75" hidden="false" customHeight="true" outlineLevel="0" collapsed="false">
      <c r="A79" s="22" t="s">
        <v>1122</v>
      </c>
      <c r="B79" s="22" t="s">
        <v>1169</v>
      </c>
      <c r="C79" s="22" t="s">
        <v>390</v>
      </c>
      <c r="D79" s="30" t="n">
        <f aca="false">COUNTIF(İlanlar!$B$5:$B$126,A79)</f>
        <v>1</v>
      </c>
      <c r="E79" s="31" t="n">
        <f aca="false">_xlfn.MAXIFS(İlanlar!$Z$5:$Z$126,İlanlar!$B$5:$B$126,A79)</f>
        <v>0.49</v>
      </c>
      <c r="F79" s="22" t="s">
        <v>1123</v>
      </c>
      <c r="G79" s="24" t="s">
        <v>1130</v>
      </c>
      <c r="H79" s="22"/>
    </row>
    <row r="80" customFormat="false" ht="39.75" hidden="false" customHeight="true" outlineLevel="0" collapsed="false">
      <c r="A80" s="22" t="s">
        <v>1137</v>
      </c>
      <c r="B80" s="22" t="s">
        <v>1168</v>
      </c>
      <c r="C80" s="22" t="s">
        <v>1139</v>
      </c>
      <c r="D80" s="30" t="n">
        <f aca="false">COUNTIF(İlanlar!$B$5:$B$126,A80)</f>
        <v>1</v>
      </c>
      <c r="E80" s="31" t="n">
        <f aca="false">_xlfn.MAXIFS(İlanlar!$Z$5:$Z$126,İlanlar!$B$5:$B$126,A80)</f>
        <v>0.47</v>
      </c>
      <c r="F80" s="22" t="s">
        <v>1138</v>
      </c>
      <c r="G80" s="24" t="s">
        <v>1145</v>
      </c>
      <c r="H80" s="22"/>
    </row>
    <row r="81" customFormat="false" ht="39.75" hidden="false" customHeight="true" outlineLevel="0" collapsed="false">
      <c r="A81" s="22" t="s">
        <v>1146</v>
      </c>
      <c r="B81" s="22" t="s">
        <v>1220</v>
      </c>
      <c r="C81" s="22" t="s">
        <v>1148</v>
      </c>
      <c r="D81" s="30" t="n">
        <f aca="false">COUNTIF(İlanlar!$B$5:$B$126,A81)</f>
        <v>1</v>
      </c>
      <c r="E81" s="31" t="n">
        <f aca="false">_xlfn.MAXIFS(İlanlar!$Z$5:$Z$126,İlanlar!$B$5:$B$126,A81)</f>
        <v>0.465</v>
      </c>
      <c r="F81" s="22" t="s">
        <v>1147</v>
      </c>
      <c r="G81" s="24" t="s">
        <v>1155</v>
      </c>
      <c r="H81" s="22"/>
    </row>
  </sheetData>
  <autoFilter ref="A4:H81"/>
  <conditionalFormatting sqref="E5:E81">
    <cfRule type="colorScale" priority="2">
      <colorScale>
        <cfvo type="num" val="0.5"/>
        <cfvo type="num" val="0.7"/>
        <cfvo type="num" val="0.9"/>
        <color rgb="FFF8696B"/>
        <color rgb="FFFFEB84"/>
        <color rgb="FF63BE7B"/>
      </colorScale>
    </cfRule>
  </conditionalFormatting>
  <hyperlinks>
    <hyperlink ref="G5" r:id="rId1" display="https://www.karriere.at/f/red-bull"/>
    <hyperlink ref="H5" r:id="rId2" display="https://jobs.redbull.com/at-de"/>
    <hyperlink ref="G6" r:id="rId3" display="https://www.karriere.at/f/skidata"/>
    <hyperlink ref="G7" r:id="rId4" display="https://www.linkedin.com/company/transunion"/>
    <hyperlink ref="H7" r:id="rId5" display="https://transunion.wd5.myworkdayjobs.com/TransUnion"/>
    <hyperlink ref="G8" r:id="rId6" display="https://fi.linkedin.com/company/amer-sports"/>
    <hyperlink ref="G9" r:id="rId7" display="https://www.karriere.at/f/epunkt-linz"/>
    <hyperlink ref="H9" r:id="rId8" display="https://job.epunkt.com/jobs/"/>
    <hyperlink ref="G10" r:id="rId9" display="https://at.linkedin.com/company/rehrl-partner-personalberatung-gmbh"/>
    <hyperlink ref="H10" r:id="rId10" display="https://www.rehrl.at/jobs/"/>
    <hyperlink ref="G11" r:id="rId11" display="https://www.karriere.at/f/kern-engineering-careers"/>
    <hyperlink ref="G12" r:id="rId12" display="https://www.karriere.at/f/salzburger-abfallbeseitigung"/>
    <hyperlink ref="H12" r:id="rId13" display="https://www.salzburg-ag.at/karriere/wir-als-arbeitgeber.html"/>
    <hyperlink ref="G13" r:id="rId14" display="https://at.linkedin.com/company/palfinger"/>
    <hyperlink ref="H13" r:id="rId15" display="https://www.palfinger.com/worldwide/en/career.html"/>
    <hyperlink ref="G14" r:id="rId16" display="https://de.linkedin.com/company/xenium-ag"/>
    <hyperlink ref="G15" r:id="rId17" display="https://www.linkedin.com/company/aptean"/>
    <hyperlink ref="G16" r:id="rId18" display="https://www.karriere.at/f/x-tention-informationstechnologie"/>
    <hyperlink ref="H16" r:id="rId19" display="https://x-tention.com/en/career"/>
    <hyperlink ref="G17" r:id="rId20" display="https://at.linkedin.com/company/soulkitchen-group"/>
    <hyperlink ref="G18" r:id="rId21" display="https://www.linkedin.com/company/hr-consulting-ines-sch%C3%B6ffmann-gmbh"/>
    <hyperlink ref="H18" r:id="rId22" display="https://hr-schoeffmann.at/"/>
    <hyperlink ref="G19" r:id="rId23" display="https://www.karriere.at/f/spar-ics-information-communication-services"/>
    <hyperlink ref="G20" r:id="rId24" display="https://www.linkedin.com/company/deloitte"/>
    <hyperlink ref="G21" r:id="rId25" display="https://at.linkedin.com/company/skidata-ag"/>
    <hyperlink ref="G22" r:id="rId26" display="https://www.karriere.at/f/reqpool"/>
    <hyperlink ref="G23" r:id="rId27" display="https://www.karriere.at/f/ktm"/>
    <hyperlink ref="G24" r:id="rId28" display="https://www.karriere.at/f/acp-gruppe"/>
    <hyperlink ref="H24" r:id="rId29" display="https://bewerbung.acp-gruppe.com/at"/>
    <hyperlink ref="G25" r:id="rId30" display="https://www.karriere.at/f/senoplast-klepsch"/>
    <hyperlink ref="H25" r:id="rId31" display="https://www.senoplast.com/de/karriere/karriere-bei-senoplast/"/>
    <hyperlink ref="G26" r:id="rId32" display="https://www.karriere.at/f/arvai-plastics"/>
    <hyperlink ref="G27" r:id="rId33" display="https://www.karriere.at/f/messezentrum-salzburg"/>
    <hyperlink ref="H27" r:id="rId34" display="https://www.salzburg-ag.at/karriere/wir-als-arbeitgeber.html"/>
    <hyperlink ref="G28" r:id="rId35" display="https://at.linkedin.com/school/universitaet-salzburg/"/>
    <hyperlink ref="H28" r:id="rId36" display="https://www.salzburg-ag.at/karriere/wir-als-arbeitgeber.html"/>
    <hyperlink ref="G29" r:id="rId37" display="https://www.linkedin.com/company/ip50"/>
    <hyperlink ref="H29" r:id="rId38" display="https://hr-schoeffmann.at/"/>
    <hyperlink ref="G30" r:id="rId39" display="https://www.karriere.at/f/sanitas"/>
    <hyperlink ref="H30" r:id="rId40" display="https://www.sanitas.at/karriere"/>
    <hyperlink ref="G31" r:id="rId41" display="https://www.karriere.at/f/dbconcepts"/>
    <hyperlink ref="G32" r:id="rId42" display="https://www.karriere.at/f/%C3%B6sterreichische-gesundheitskasse-wien"/>
    <hyperlink ref="G33" r:id="rId43" display="https://de.linkedin.com/company/arineo"/>
    <hyperlink ref="G34" r:id="rId44" display="https://at.linkedin.com/company/iventagroup"/>
    <hyperlink ref="G35" r:id="rId45" display="https://www.karriere.at/f/kpmg-%C3%B6sterreich"/>
    <hyperlink ref="G36" r:id="rId46" display="https://www.karriere.at/f/teampool-personalberatung"/>
    <hyperlink ref="G37" r:id="rId47" display="https://www.karriere.at/f/sigmatek"/>
    <hyperlink ref="H37" r:id="rId48" display="https://www.sigmatek-automation.com/de/karriere/"/>
    <hyperlink ref="G38" r:id="rId49" display="https://www.karriere.at/f/heimat-%C3%B6sterreich-gemeinn%C3%BCtzige-wohnungs-und-siedlungsgesellschaft"/>
    <hyperlink ref="G39" r:id="rId50" display="https://www.karriere.at/f/itaurus-it-dienstleistungs-gmbh"/>
    <hyperlink ref="G40" r:id="rId51" display="https://www.karriere.at/f/tnt-personalberatung"/>
    <hyperlink ref="H40" r:id="rId52" display="https://tntpersonal.at/jobs-stellenanzeigen/"/>
    <hyperlink ref="G41" r:id="rId53" display="https://www.karriere.at/f/nts"/>
    <hyperlink ref="H41" r:id="rId54" display="https://www.nts.eu/karriere/"/>
    <hyperlink ref="G42" r:id="rId55" display="https://www.karriere.at/f/cancomaustria"/>
    <hyperlink ref="H42" r:id="rId56" display="https://www.cancom.at/karriere"/>
    <hyperlink ref="G43" r:id="rId57" display="https://at.linkedin.com/company/tnt-personal"/>
    <hyperlink ref="H43" r:id="rId58" display="https://tntpersonal.at/jobs-stellenanzeigen/"/>
    <hyperlink ref="G44" r:id="rId59" display="https://www.karriere.at/f/ginzinger-electronic-systems"/>
    <hyperlink ref="G45" r:id="rId60" display="https://www.karriere.at/f/ever-pharma"/>
    <hyperlink ref="G46" r:id="rId61" display="https://at.linkedin.com/company/windhagerhandelsgesmbh"/>
    <hyperlink ref="G47" r:id="rId62" display="https://www.karriere.at/f/wirtschaftskammer-salzburg"/>
    <hyperlink ref="H47" r:id="rId63" display="https://www.salzburg-ag.at/karriere/wir-als-arbeitgeber.html"/>
    <hyperlink ref="G48" r:id="rId64" display="https://www.karriere.at/f/salzburg-f%C3%BCr-energie-verkehr-und-telekommunikation"/>
    <hyperlink ref="H48" r:id="rId65" display="https://www.salzburg-ag.at/karriere/wir-als-arbeitgeber.html"/>
    <hyperlink ref="G49" r:id="rId66" display="https://www.karriere.at/f/lenzing"/>
    <hyperlink ref="H49" r:id="rId67" display="https://www.lenzing.com/de/karriere/"/>
    <hyperlink ref="G50" r:id="rId68" display="https://www.karriere.at/f/gastrodat"/>
    <hyperlink ref="G51" r:id="rId69" display="https://www.karriere.at/f/salzburger-festspielfonds"/>
    <hyperlink ref="H51" r:id="rId70" display="https://www.salzburg-ag.at/karriere/wir-als-arbeitgeber.html"/>
    <hyperlink ref="G52" r:id="rId71" display="https://at.linkedin.com/company/ottoaustriagroup"/>
    <hyperlink ref="G53" r:id="rId72" display="https://www.karriere.at/f/bwt-holding-gmbh"/>
    <hyperlink ref="H53" r:id="rId73" display="https://www.bwt.com/de-at/karriere/"/>
    <hyperlink ref="G54" r:id="rId74" display="https://de.linkedin.com/company/vesterling"/>
    <hyperlink ref="G55" r:id="rId75" display="https://www.karriere.at/f/scri-limcr-gem"/>
    <hyperlink ref="G56" r:id="rId76" display="https://ro.linkedin.com/company/career-advisor"/>
    <hyperlink ref="G57" r:id="rId77" display="https://de.linkedin.com/company/hemmersbach"/>
    <hyperlink ref="G58" r:id="rId78" display="https://www.karriere.at/f/standout-gmbh"/>
    <hyperlink ref="G59" r:id="rId79" display="https://www.karriere.at/f/peneder-unternehmensgruppe"/>
    <hyperlink ref="G60" r:id="rId80" display="https://www.karriere.at/f/%C3%B6wd-security-services"/>
    <hyperlink ref="G61" r:id="rId81" display="https://at.linkedin.com/company/eworx-at"/>
    <hyperlink ref="H61" r:id="rId82" display="https://www.eworx.at/karriere"/>
    <hyperlink ref="G62" r:id="rId83" display="https://www.karriere.at/f/beko-engineering-informatik-wien"/>
    <hyperlink ref="G63" r:id="rId84" display="https://www.karriere.at/f/raiffeisen-ober%C3%B6sterreich"/>
    <hyperlink ref="G64" r:id="rId85" display="https://www.karriere.at/f/aptiv-mobility-services-austria-mat"/>
    <hyperlink ref="H64" r:id="rId86" display="https://www.aptiv.com/en/jobs"/>
    <hyperlink ref="G65" r:id="rId87" display="https://www.karriere.at/f/walter-werkzeuge-salzburg"/>
    <hyperlink ref="H65" r:id="rId88" display="https://www.salzburg-ag.at/karriere/wir-als-arbeitgeber.html"/>
    <hyperlink ref="G66" r:id="rId89" display="https://www.karriere.at/f/nic-at"/>
    <hyperlink ref="G67" r:id="rId90" display="https://at.linkedin.com/company/starcon-hr-experts"/>
    <hyperlink ref="H67" r:id="rId91" display="https://hr-schoeffmann.at/"/>
    <hyperlink ref="G68" r:id="rId92" display="https://at.linkedin.com/company/sparics"/>
    <hyperlink ref="G69" r:id="rId93" display="https://www.karriere.at/f/stieglbrauerei-zu-salzburg"/>
    <hyperlink ref="H69" r:id="rId94" display="https://www.salzburg-ag.at/karriere/wir-als-arbeitgeber.html"/>
    <hyperlink ref="G70" r:id="rId95" display="https://www.karriere.at/f/se-austria-co"/>
    <hyperlink ref="G71" r:id="rId96" display="https://www.karriere.at/f/myflexbox-austria"/>
    <hyperlink ref="G72" r:id="rId97" display="https://at.linkedin.com/company/porsche-holding"/>
    <hyperlink ref="G73" r:id="rId98" display="https://at.linkedin.com/company/hai-hammerer-aluminium-industries-gmbh"/>
    <hyperlink ref="H73" r:id="rId99" display="https://hai-aluminium.career.softgarden.de/"/>
    <hyperlink ref="G74" r:id="rId100" display="https://www.karriere.at/f/tauernkliniken-zell-am-see"/>
    <hyperlink ref="G75" r:id="rId101" display="https://www.karriere.at/f/ramsauer-josef-kreidewerk"/>
    <hyperlink ref="G76" r:id="rId102" display="https://www.karriere.at/f/lebenshilfe-ober%C3%B6sterreich"/>
    <hyperlink ref="G77" r:id="rId103" display="https://www.karriere.at/f/axians-ict-austria"/>
    <hyperlink ref="G78" r:id="rId104" display="https://www.karriere.at/f/laturo-personalservice"/>
    <hyperlink ref="G79" r:id="rId105" display="https://www.karriere.at/f/unifits-austria"/>
    <hyperlink ref="G80" r:id="rId106" display="https://www.karriere.at/f/eurofunk-kappacher"/>
    <hyperlink ref="G81" r:id="rId107" display="https://www.karriere.at/f/w%C3%BCstenrot-technolog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26"/>
    <col collapsed="false" customWidth="true" hidden="false" outlineLevel="0" max="3" min="3" style="0" width="42"/>
    <col collapsed="false" customWidth="true" hidden="false" outlineLevel="0" max="4" min="4" style="0" width="32"/>
    <col collapsed="false" customWidth="true" hidden="false" outlineLevel="0" max="5" min="5" style="0" width="11"/>
    <col collapsed="false" customWidth="true" hidden="false" outlineLevel="0" max="6" min="6" style="0" width="50"/>
    <col collapsed="false" customWidth="true" hidden="false" outlineLevel="0" max="7" min="7" style="0" width="42"/>
    <col collapsed="false" customWidth="true" hidden="false" outlineLevel="0" max="8" min="8" style="0" width="46"/>
  </cols>
  <sheetData>
    <row r="1" customFormat="false" ht="17.35" hidden="false" customHeight="false" outlineLevel="0" collapsed="false">
      <c r="A1" s="19" t="s">
        <v>1223</v>
      </c>
    </row>
    <row r="2" customFormat="false" ht="15" hidden="false" customHeight="false" outlineLevel="0" collapsed="false">
      <c r="A2" s="2" t="s">
        <v>1224</v>
      </c>
    </row>
    <row r="4" customFormat="false" ht="35.05" hidden="false" customHeight="false" outlineLevel="0" collapsed="false">
      <c r="A4" s="21" t="s">
        <v>73</v>
      </c>
      <c r="B4" s="21" t="s">
        <v>1225</v>
      </c>
      <c r="C4" s="21" t="s">
        <v>1226</v>
      </c>
      <c r="D4" s="21" t="s">
        <v>1227</v>
      </c>
      <c r="E4" s="21" t="s">
        <v>1228</v>
      </c>
      <c r="F4" s="21" t="s">
        <v>1229</v>
      </c>
      <c r="G4" s="21" t="s">
        <v>1230</v>
      </c>
      <c r="H4" s="21" t="s">
        <v>1231</v>
      </c>
    </row>
    <row r="5" customFormat="false" ht="43.5" hidden="false" customHeight="true" outlineLevel="0" collapsed="false">
      <c r="A5" s="22" t="s">
        <v>1232</v>
      </c>
      <c r="B5" s="22" t="s">
        <v>1233</v>
      </c>
      <c r="C5" s="22" t="s">
        <v>1234</v>
      </c>
      <c r="D5" s="22" t="s">
        <v>1235</v>
      </c>
      <c r="E5" s="32" t="n">
        <v>5</v>
      </c>
      <c r="F5" s="22" t="s">
        <v>1236</v>
      </c>
      <c r="G5" s="24" t="s">
        <v>1237</v>
      </c>
      <c r="H5" s="22" t="s">
        <v>1238</v>
      </c>
    </row>
    <row r="6" customFormat="false" ht="43.5" hidden="false" customHeight="true" outlineLevel="0" collapsed="false">
      <c r="A6" s="22" t="s">
        <v>207</v>
      </c>
      <c r="B6" s="22" t="s">
        <v>1239</v>
      </c>
      <c r="C6" s="22" t="s">
        <v>1240</v>
      </c>
      <c r="D6" s="22" t="s">
        <v>1241</v>
      </c>
      <c r="E6" s="32" t="n">
        <v>5</v>
      </c>
      <c r="F6" s="22" t="s">
        <v>1242</v>
      </c>
      <c r="G6" s="24" t="s">
        <v>1243</v>
      </c>
      <c r="H6" s="22" t="s">
        <v>1244</v>
      </c>
    </row>
    <row r="7" customFormat="false" ht="43.5" hidden="false" customHeight="true" outlineLevel="0" collapsed="false">
      <c r="A7" s="22" t="s">
        <v>1245</v>
      </c>
      <c r="B7" s="22" t="s">
        <v>1246</v>
      </c>
      <c r="C7" s="22" t="s">
        <v>1247</v>
      </c>
      <c r="D7" s="22" t="s">
        <v>1248</v>
      </c>
      <c r="E7" s="32" t="n">
        <v>5</v>
      </c>
      <c r="F7" s="22" t="s">
        <v>1236</v>
      </c>
      <c r="G7" s="24" t="s">
        <v>1249</v>
      </c>
      <c r="H7" s="22" t="s">
        <v>1250</v>
      </c>
    </row>
    <row r="8" customFormat="false" ht="43.5" hidden="false" customHeight="true" outlineLevel="0" collapsed="false">
      <c r="A8" s="22" t="s">
        <v>1251</v>
      </c>
      <c r="B8" s="22" t="s">
        <v>1252</v>
      </c>
      <c r="C8" s="22" t="s">
        <v>1253</v>
      </c>
      <c r="D8" s="22" t="s">
        <v>1254</v>
      </c>
      <c r="E8" s="32" t="n">
        <v>5</v>
      </c>
      <c r="F8" s="22" t="s">
        <v>1255</v>
      </c>
      <c r="G8" s="24" t="s">
        <v>1184</v>
      </c>
      <c r="H8" s="22" t="s">
        <v>1256</v>
      </c>
    </row>
    <row r="9" customFormat="false" ht="43.5" hidden="false" customHeight="true" outlineLevel="0" collapsed="false">
      <c r="A9" s="22" t="s">
        <v>1257</v>
      </c>
      <c r="B9" s="22" t="s">
        <v>1233</v>
      </c>
      <c r="C9" s="22" t="s">
        <v>1258</v>
      </c>
      <c r="D9" s="22" t="s">
        <v>1259</v>
      </c>
      <c r="E9" s="32" t="n">
        <v>4</v>
      </c>
      <c r="F9" s="22" t="s">
        <v>1260</v>
      </c>
      <c r="G9" s="24" t="s">
        <v>1261</v>
      </c>
      <c r="H9" s="22" t="s">
        <v>1262</v>
      </c>
    </row>
    <row r="10" customFormat="false" ht="43.5" hidden="false" customHeight="true" outlineLevel="0" collapsed="false">
      <c r="A10" s="22" t="s">
        <v>1263</v>
      </c>
      <c r="B10" s="22" t="s">
        <v>1264</v>
      </c>
      <c r="C10" s="22" t="s">
        <v>1265</v>
      </c>
      <c r="D10" s="22" t="s">
        <v>1266</v>
      </c>
      <c r="E10" s="32" t="n">
        <v>4</v>
      </c>
      <c r="F10" s="22" t="s">
        <v>1267</v>
      </c>
      <c r="G10" s="24" t="s">
        <v>1268</v>
      </c>
      <c r="H10" s="22" t="s">
        <v>1269</v>
      </c>
    </row>
    <row r="11" customFormat="false" ht="43.5" hidden="false" customHeight="true" outlineLevel="0" collapsed="false">
      <c r="A11" s="22" t="s">
        <v>1270</v>
      </c>
      <c r="B11" s="22" t="s">
        <v>1271</v>
      </c>
      <c r="C11" s="22" t="s">
        <v>1272</v>
      </c>
      <c r="D11" s="22" t="s">
        <v>1273</v>
      </c>
      <c r="E11" s="32" t="n">
        <v>4</v>
      </c>
      <c r="F11" s="22" t="s">
        <v>1236</v>
      </c>
      <c r="G11" s="24" t="s">
        <v>1274</v>
      </c>
      <c r="H11" s="22" t="s">
        <v>1275</v>
      </c>
    </row>
    <row r="12" customFormat="false" ht="43.5" hidden="false" customHeight="true" outlineLevel="0" collapsed="false">
      <c r="A12" s="22" t="s">
        <v>1276</v>
      </c>
      <c r="B12" s="22" t="s">
        <v>1271</v>
      </c>
      <c r="C12" s="22" t="s">
        <v>390</v>
      </c>
      <c r="D12" s="22" t="s">
        <v>1277</v>
      </c>
      <c r="E12" s="32" t="n">
        <v>4</v>
      </c>
      <c r="F12" s="22" t="s">
        <v>1236</v>
      </c>
      <c r="G12" s="24" t="s">
        <v>1278</v>
      </c>
      <c r="H12" s="22" t="s">
        <v>1279</v>
      </c>
    </row>
    <row r="13" customFormat="false" ht="43.5" hidden="false" customHeight="true" outlineLevel="0" collapsed="false">
      <c r="A13" s="22" t="s">
        <v>1280</v>
      </c>
      <c r="B13" s="22" t="s">
        <v>1281</v>
      </c>
      <c r="C13" s="22" t="s">
        <v>1282</v>
      </c>
      <c r="D13" s="22" t="s">
        <v>1283</v>
      </c>
      <c r="E13" s="32" t="n">
        <v>4</v>
      </c>
      <c r="F13" s="22" t="s">
        <v>1284</v>
      </c>
      <c r="G13" s="24" t="s">
        <v>294</v>
      </c>
      <c r="H13" s="22" t="s">
        <v>1285</v>
      </c>
    </row>
    <row r="14" customFormat="false" ht="43.5" hidden="false" customHeight="true" outlineLevel="0" collapsed="false">
      <c r="A14" s="22" t="s">
        <v>1286</v>
      </c>
      <c r="B14" s="22" t="s">
        <v>1264</v>
      </c>
      <c r="C14" s="22" t="s">
        <v>1287</v>
      </c>
      <c r="D14" s="22" t="s">
        <v>1288</v>
      </c>
      <c r="E14" s="32" t="n">
        <v>4</v>
      </c>
      <c r="F14" s="22" t="s">
        <v>1289</v>
      </c>
      <c r="G14" s="24" t="s">
        <v>446</v>
      </c>
      <c r="H14" s="22" t="s">
        <v>1290</v>
      </c>
    </row>
    <row r="15" customFormat="false" ht="43.5" hidden="false" customHeight="true" outlineLevel="0" collapsed="false">
      <c r="A15" s="22" t="s">
        <v>1291</v>
      </c>
      <c r="B15" s="22" t="s">
        <v>1292</v>
      </c>
      <c r="C15" s="22" t="s">
        <v>390</v>
      </c>
      <c r="D15" s="22" t="s">
        <v>1293</v>
      </c>
      <c r="E15" s="32" t="n">
        <v>3</v>
      </c>
      <c r="F15" s="22" t="s">
        <v>1236</v>
      </c>
      <c r="G15" s="24" t="s">
        <v>1294</v>
      </c>
      <c r="H15" s="22" t="s">
        <v>1295</v>
      </c>
    </row>
    <row r="16" customFormat="false" ht="43.5" hidden="false" customHeight="true" outlineLevel="0" collapsed="false">
      <c r="A16" s="22" t="s">
        <v>1296</v>
      </c>
      <c r="B16" s="22" t="s">
        <v>1297</v>
      </c>
      <c r="C16" s="22" t="s">
        <v>1298</v>
      </c>
      <c r="D16" s="22" t="s">
        <v>1299</v>
      </c>
      <c r="E16" s="32" t="n">
        <v>3</v>
      </c>
      <c r="F16" s="22" t="s">
        <v>1236</v>
      </c>
      <c r="G16" s="24" t="s">
        <v>1300</v>
      </c>
      <c r="H16" s="22" t="s">
        <v>1301</v>
      </c>
    </row>
    <row r="17" customFormat="false" ht="43.5" hidden="false" customHeight="true" outlineLevel="0" collapsed="false">
      <c r="A17" s="22" t="s">
        <v>1302</v>
      </c>
      <c r="B17" s="22" t="s">
        <v>1264</v>
      </c>
      <c r="C17" s="22" t="s">
        <v>1303</v>
      </c>
      <c r="D17" s="22" t="s">
        <v>1304</v>
      </c>
      <c r="E17" s="32" t="n">
        <v>3</v>
      </c>
      <c r="F17" s="22" t="s">
        <v>1305</v>
      </c>
      <c r="G17" s="24" t="s">
        <v>1203</v>
      </c>
      <c r="H17" s="22" t="s">
        <v>1306</v>
      </c>
    </row>
    <row r="18" customFormat="false" ht="43.5" hidden="false" customHeight="true" outlineLevel="0" collapsed="false">
      <c r="A18" s="22" t="s">
        <v>1307</v>
      </c>
      <c r="B18" s="22" t="s">
        <v>1308</v>
      </c>
      <c r="C18" s="22" t="s">
        <v>1309</v>
      </c>
      <c r="D18" s="22" t="s">
        <v>1310</v>
      </c>
      <c r="E18" s="32" t="n">
        <v>3</v>
      </c>
      <c r="F18" s="22" t="s">
        <v>1236</v>
      </c>
      <c r="G18" s="24" t="s">
        <v>1311</v>
      </c>
      <c r="H18" s="22" t="s">
        <v>1312</v>
      </c>
    </row>
    <row r="19" customFormat="false" ht="43.5" hidden="false" customHeight="true" outlineLevel="0" collapsed="false">
      <c r="A19" s="22" t="s">
        <v>1313</v>
      </c>
      <c r="B19" s="22" t="s">
        <v>1314</v>
      </c>
      <c r="C19" s="22" t="s">
        <v>390</v>
      </c>
      <c r="D19" s="22" t="s">
        <v>1315</v>
      </c>
      <c r="E19" s="32" t="n">
        <v>3</v>
      </c>
      <c r="F19" s="22" t="s">
        <v>1236</v>
      </c>
      <c r="G19" s="24" t="s">
        <v>1316</v>
      </c>
      <c r="H19" s="22" t="s">
        <v>1317</v>
      </c>
    </row>
    <row r="20" customFormat="false" ht="43.5" hidden="false" customHeight="true" outlineLevel="0" collapsed="false">
      <c r="A20" s="22" t="s">
        <v>1318</v>
      </c>
      <c r="B20" s="22" t="s">
        <v>1314</v>
      </c>
      <c r="C20" s="22" t="s">
        <v>390</v>
      </c>
      <c r="D20" s="22" t="s">
        <v>1319</v>
      </c>
      <c r="E20" s="32" t="n">
        <v>3</v>
      </c>
      <c r="F20" s="22" t="s">
        <v>1236</v>
      </c>
      <c r="G20" s="24" t="s">
        <v>1320</v>
      </c>
      <c r="H20" s="22" t="s">
        <v>1321</v>
      </c>
    </row>
    <row r="21" customFormat="false" ht="43.5" hidden="false" customHeight="true" outlineLevel="0" collapsed="false">
      <c r="A21" s="22" t="s">
        <v>1322</v>
      </c>
      <c r="B21" s="22" t="s">
        <v>1323</v>
      </c>
      <c r="C21" s="22" t="s">
        <v>390</v>
      </c>
      <c r="D21" s="22" t="s">
        <v>1324</v>
      </c>
      <c r="E21" s="32" t="n">
        <v>3</v>
      </c>
      <c r="F21" s="22" t="s">
        <v>1236</v>
      </c>
      <c r="G21" s="24" t="s">
        <v>1325</v>
      </c>
      <c r="H21" s="22" t="s">
        <v>119</v>
      </c>
    </row>
    <row r="22" customFormat="false" ht="43.5" hidden="false" customHeight="true" outlineLevel="0" collapsed="false">
      <c r="A22" s="22" t="s">
        <v>1326</v>
      </c>
      <c r="B22" s="22" t="s">
        <v>1327</v>
      </c>
      <c r="C22" s="22" t="s">
        <v>1328</v>
      </c>
      <c r="D22" s="22" t="s">
        <v>1329</v>
      </c>
      <c r="E22" s="32" t="n">
        <v>3</v>
      </c>
      <c r="F22" s="22" t="s">
        <v>1236</v>
      </c>
      <c r="G22" s="24" t="s">
        <v>1330</v>
      </c>
      <c r="H22" s="22" t="s">
        <v>1331</v>
      </c>
    </row>
    <row r="23" customFormat="false" ht="43.5" hidden="false" customHeight="true" outlineLevel="0" collapsed="false">
      <c r="A23" s="22" t="s">
        <v>1332</v>
      </c>
      <c r="B23" s="22" t="s">
        <v>1333</v>
      </c>
      <c r="C23" s="22" t="s">
        <v>1334</v>
      </c>
      <c r="D23" s="22" t="s">
        <v>1335</v>
      </c>
      <c r="E23" s="32" t="n">
        <v>3</v>
      </c>
      <c r="F23" s="22" t="s">
        <v>1236</v>
      </c>
      <c r="G23" s="24" t="s">
        <v>1336</v>
      </c>
      <c r="H23" s="22" t="s">
        <v>1337</v>
      </c>
    </row>
    <row r="24" customFormat="false" ht="43.5" hidden="false" customHeight="true" outlineLevel="0" collapsed="false">
      <c r="A24" s="22" t="s">
        <v>536</v>
      </c>
      <c r="B24" s="22" t="s">
        <v>1264</v>
      </c>
      <c r="C24" s="22" t="s">
        <v>390</v>
      </c>
      <c r="D24" s="22" t="s">
        <v>1338</v>
      </c>
      <c r="E24" s="32" t="n">
        <v>3</v>
      </c>
      <c r="F24" s="22" t="s">
        <v>1339</v>
      </c>
      <c r="G24" s="24" t="s">
        <v>545</v>
      </c>
      <c r="H24" s="22" t="s">
        <v>1340</v>
      </c>
    </row>
    <row r="25" customFormat="false" ht="43.5" hidden="false" customHeight="true" outlineLevel="0" collapsed="false">
      <c r="A25" s="22" t="s">
        <v>816</v>
      </c>
      <c r="B25" s="22" t="s">
        <v>1264</v>
      </c>
      <c r="C25" s="22" t="s">
        <v>390</v>
      </c>
      <c r="D25" s="22" t="s">
        <v>1341</v>
      </c>
      <c r="E25" s="32" t="n">
        <v>3</v>
      </c>
      <c r="F25" s="22" t="s">
        <v>1342</v>
      </c>
      <c r="G25" s="22"/>
      <c r="H25" s="22" t="s">
        <v>1343</v>
      </c>
    </row>
    <row r="26" customFormat="false" ht="43.5" hidden="false" customHeight="true" outlineLevel="0" collapsed="false">
      <c r="A26" s="22" t="s">
        <v>796</v>
      </c>
      <c r="B26" s="22" t="s">
        <v>1344</v>
      </c>
      <c r="C26" s="22" t="s">
        <v>1345</v>
      </c>
      <c r="D26" s="22" t="s">
        <v>1346</v>
      </c>
      <c r="E26" s="32" t="n">
        <v>3</v>
      </c>
      <c r="F26" s="22" t="s">
        <v>1347</v>
      </c>
      <c r="G26" s="22"/>
      <c r="H26" s="22" t="s">
        <v>1348</v>
      </c>
    </row>
    <row r="27" customFormat="false" ht="43.5" hidden="false" customHeight="true" outlineLevel="0" collapsed="false">
      <c r="A27" s="22" t="s">
        <v>1113</v>
      </c>
      <c r="B27" s="22" t="s">
        <v>1264</v>
      </c>
      <c r="C27" s="22" t="s">
        <v>1349</v>
      </c>
      <c r="D27" s="22" t="s">
        <v>1350</v>
      </c>
      <c r="E27" s="32" t="n">
        <v>3</v>
      </c>
      <c r="F27" s="22" t="s">
        <v>1351</v>
      </c>
      <c r="G27" s="22"/>
      <c r="H27" s="22" t="s">
        <v>1352</v>
      </c>
    </row>
    <row r="28" customFormat="false" ht="43.5" hidden="false" customHeight="true" outlineLevel="0" collapsed="false">
      <c r="A28" s="22" t="s">
        <v>1353</v>
      </c>
      <c r="B28" s="22" t="s">
        <v>1354</v>
      </c>
      <c r="C28" s="22" t="s">
        <v>1355</v>
      </c>
      <c r="D28" s="22" t="s">
        <v>1356</v>
      </c>
      <c r="E28" s="32" t="n">
        <v>2</v>
      </c>
      <c r="F28" s="22" t="s">
        <v>1236</v>
      </c>
      <c r="G28" s="24" t="s">
        <v>1357</v>
      </c>
      <c r="H28" s="22" t="s">
        <v>1358</v>
      </c>
    </row>
    <row r="29" customFormat="false" ht="43.5" hidden="false" customHeight="true" outlineLevel="0" collapsed="false">
      <c r="A29" s="22" t="s">
        <v>1359</v>
      </c>
      <c r="B29" s="22" t="s">
        <v>1264</v>
      </c>
      <c r="C29" s="22" t="s">
        <v>390</v>
      </c>
      <c r="D29" s="22" t="s">
        <v>1360</v>
      </c>
      <c r="E29" s="32" t="n">
        <v>2</v>
      </c>
      <c r="F29" s="22" t="s">
        <v>1236</v>
      </c>
      <c r="G29" s="24" t="s">
        <v>1361</v>
      </c>
      <c r="H29" s="22" t="s">
        <v>119</v>
      </c>
    </row>
    <row r="30" customFormat="false" ht="43.5" hidden="false" customHeight="true" outlineLevel="0" collapsed="false">
      <c r="A30" s="22" t="s">
        <v>1362</v>
      </c>
      <c r="B30" s="22" t="s">
        <v>1363</v>
      </c>
      <c r="C30" s="22" t="s">
        <v>1364</v>
      </c>
      <c r="D30" s="22" t="s">
        <v>1365</v>
      </c>
      <c r="E30" s="32" t="n">
        <v>2</v>
      </c>
      <c r="F30" s="22" t="s">
        <v>1236</v>
      </c>
      <c r="G30" s="24" t="s">
        <v>1366</v>
      </c>
      <c r="H30" s="22" t="s">
        <v>119</v>
      </c>
    </row>
    <row r="31" customFormat="false" ht="43.5" hidden="false" customHeight="true" outlineLevel="0" collapsed="false">
      <c r="A31" s="22" t="s">
        <v>978</v>
      </c>
      <c r="B31" s="22" t="s">
        <v>1264</v>
      </c>
      <c r="C31" s="22" t="s">
        <v>1367</v>
      </c>
      <c r="D31" s="22" t="s">
        <v>1368</v>
      </c>
      <c r="E31" s="32" t="n">
        <v>2</v>
      </c>
      <c r="F31" s="22" t="s">
        <v>1369</v>
      </c>
      <c r="G31" s="22"/>
      <c r="H31" s="22" t="s">
        <v>1370</v>
      </c>
    </row>
  </sheetData>
  <autoFilter ref="A4:H31"/>
  <conditionalFormatting sqref="E5:E31">
    <cfRule type="colorScale" priority="2">
      <colorScale>
        <cfvo type="num" val="1"/>
        <cfvo type="num" val="3"/>
        <cfvo type="num" val="5"/>
        <color rgb="FFF8696B"/>
        <color rgb="FFFFEB84"/>
        <color rgb="FF63BE7B"/>
      </colorScale>
    </cfRule>
  </conditionalFormatting>
  <hyperlinks>
    <hyperlink ref="G5" r:id="rId1" display="https://www.schulmeister-consulting.com/de/fuer-bewerberinnen/jobs-finden"/>
    <hyperlink ref="G6" r:id="rId2" display="https://www.epunkt.com/standort/salzburg/"/>
    <hyperlink ref="G7" r:id="rId3" display="https://jobs.ams.at/"/>
    <hyperlink ref="G8" r:id="rId4" display="https://hr-schoeffmann.at/"/>
    <hyperlink ref="G9" r:id="rId5" display="https://www.iventa.eu/"/>
    <hyperlink ref="G10" r:id="rId6" display="https://www.rehrl.at/"/>
    <hyperlink ref="G11" r:id="rId7" display="https://www.hapeko.at/standorte/salzburg"/>
    <hyperlink ref="G12" r:id="rId8" display="https://www.mbmc.at/personalberatung/salzburg/"/>
    <hyperlink ref="G13" r:id="rId9" display="https://www.karriere.at/f/kern-engineering-careers"/>
    <hyperlink ref="G14" r:id="rId10" display="https://www.linkedin.com/company/ip50"/>
    <hyperlink ref="G15" r:id="rId11" display="https://www.techsearch.at/jobs/269996-SPTS/it-team-leiter-w-m-d"/>
    <hyperlink ref="G16" r:id="rId12" display="https://www.gointerim.com/"/>
    <hyperlink ref="G17" r:id="rId13" display="https://tntpersonal.at/jobs-stellenanzeigen/"/>
    <hyperlink ref="G18" r:id="rId14" display="https://at.trenkwalder.com/standorte/salzburg"/>
    <hyperlink ref="G19" r:id="rId15" display="https://www.tti.at/"/>
    <hyperlink ref="G20" r:id="rId16" display="https://www.manpower.at/jobs/it-administrator/salzburg"/>
    <hyperlink ref="G21" r:id="rId17" display="https://globe.at/en/company/standorte/personalvermittlung-und-personalberatung-salzburg/"/>
    <hyperlink ref="G22" r:id="rId18" display="https://www.hays.at/personaldienstleister/fachgebiet-information-technology"/>
    <hyperlink ref="G23" r:id="rId19" display="https://www.michaelpage.com/"/>
    <hyperlink ref="G24" r:id="rId20" display="https://www.karriere.at/f/teampool-personalberatung"/>
    <hyperlink ref="G28" r:id="rId21" display="https://www.grinnberg.de/it-jobs"/>
    <hyperlink ref="G29" r:id="rId22" display="https://www.pernergroup.com/de/fuer-unternehmen/personalberatung"/>
    <hyperlink ref="G30" r:id="rId23" display="https://www.rkmanagement.at/leistungen-fuer-ihr-unternehm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36"/>
    <col collapsed="false" customWidth="true" hidden="false" outlineLevel="0" max="3" min="3" style="0" width="12"/>
    <col collapsed="false" customWidth="true" hidden="false" outlineLevel="0" max="4" min="4" style="0" width="60"/>
    <col collapsed="false" customWidth="true" hidden="false" outlineLevel="0" max="5" min="5" style="0" width="64"/>
  </cols>
  <sheetData>
    <row r="1" customFormat="false" ht="17.35" hidden="false" customHeight="false" outlineLevel="0" collapsed="false">
      <c r="A1" s="19" t="s">
        <v>1371</v>
      </c>
    </row>
    <row r="3" customFormat="false" ht="15" hidden="false" customHeight="false" outlineLevel="0" collapsed="false">
      <c r="A3" s="21" t="s">
        <v>1372</v>
      </c>
      <c r="B3" s="21" t="s">
        <v>18</v>
      </c>
      <c r="C3" s="21" t="s">
        <v>77</v>
      </c>
      <c r="D3" s="21" t="s">
        <v>1373</v>
      </c>
      <c r="E3" s="21" t="s">
        <v>1374</v>
      </c>
    </row>
    <row r="4" customFormat="false" ht="30" hidden="false" customHeight="true" outlineLevel="0" collapsed="false">
      <c r="A4" s="22" t="s">
        <v>138</v>
      </c>
      <c r="B4" s="22" t="s">
        <v>1375</v>
      </c>
      <c r="C4" s="22" t="s">
        <v>1376</v>
      </c>
      <c r="D4" s="24" t="s">
        <v>1377</v>
      </c>
      <c r="E4" s="22" t="s">
        <v>1378</v>
      </c>
    </row>
    <row r="5" customFormat="false" ht="30" hidden="false" customHeight="true" outlineLevel="0" collapsed="false">
      <c r="A5" s="22" t="s">
        <v>1379</v>
      </c>
      <c r="B5" s="22" t="s">
        <v>1380</v>
      </c>
      <c r="C5" s="22" t="s">
        <v>50</v>
      </c>
      <c r="D5" s="24" t="s">
        <v>1381</v>
      </c>
      <c r="E5" s="22" t="s">
        <v>1382</v>
      </c>
    </row>
    <row r="6" customFormat="false" ht="30" hidden="false" customHeight="true" outlineLevel="0" collapsed="false">
      <c r="A6" s="22" t="s">
        <v>1383</v>
      </c>
      <c r="B6" s="22" t="s">
        <v>1384</v>
      </c>
      <c r="C6" s="22" t="s">
        <v>1385</v>
      </c>
      <c r="D6" s="24" t="s">
        <v>1386</v>
      </c>
      <c r="E6" s="22" t="s">
        <v>1387</v>
      </c>
    </row>
    <row r="7" customFormat="false" ht="30" hidden="false" customHeight="true" outlineLevel="0" collapsed="false">
      <c r="A7" s="22" t="s">
        <v>1388</v>
      </c>
      <c r="B7" s="22" t="s">
        <v>1389</v>
      </c>
      <c r="C7" s="22" t="s">
        <v>50</v>
      </c>
      <c r="D7" s="24" t="s">
        <v>1390</v>
      </c>
      <c r="E7" s="22" t="s">
        <v>119</v>
      </c>
    </row>
    <row r="8" customFormat="false" ht="30" hidden="false" customHeight="true" outlineLevel="0" collapsed="false">
      <c r="A8" s="22" t="s">
        <v>1391</v>
      </c>
      <c r="B8" s="22" t="s">
        <v>1392</v>
      </c>
      <c r="C8" s="22" t="s">
        <v>1385</v>
      </c>
      <c r="D8" s="24" t="s">
        <v>1393</v>
      </c>
      <c r="E8" s="22" t="s">
        <v>1394</v>
      </c>
    </row>
    <row r="9" customFormat="false" ht="30" hidden="false" customHeight="true" outlineLevel="0" collapsed="false">
      <c r="A9" s="22" t="s">
        <v>1395</v>
      </c>
      <c r="B9" s="22" t="s">
        <v>1396</v>
      </c>
      <c r="C9" s="22" t="s">
        <v>36</v>
      </c>
      <c r="D9" s="24" t="s">
        <v>1397</v>
      </c>
      <c r="E9" s="22" t="s">
        <v>1398</v>
      </c>
    </row>
    <row r="10" customFormat="false" ht="30" hidden="false" customHeight="true" outlineLevel="0" collapsed="false">
      <c r="A10" s="22" t="s">
        <v>1399</v>
      </c>
      <c r="B10" s="22" t="s">
        <v>1400</v>
      </c>
      <c r="C10" s="22" t="s">
        <v>36</v>
      </c>
      <c r="D10" s="24" t="s">
        <v>1401</v>
      </c>
      <c r="E10" s="22" t="s">
        <v>1402</v>
      </c>
    </row>
    <row r="11" customFormat="false" ht="30" hidden="false" customHeight="true" outlineLevel="0" collapsed="false">
      <c r="A11" s="22" t="s">
        <v>1403</v>
      </c>
      <c r="B11" s="22" t="s">
        <v>1404</v>
      </c>
      <c r="C11" s="22" t="s">
        <v>1405</v>
      </c>
      <c r="D11" s="24" t="s">
        <v>1406</v>
      </c>
      <c r="E11" s="22" t="s">
        <v>1407</v>
      </c>
    </row>
    <row r="12" customFormat="false" ht="30" hidden="false" customHeight="true" outlineLevel="0" collapsed="false">
      <c r="A12" s="22" t="s">
        <v>1408</v>
      </c>
      <c r="B12" s="22" t="s">
        <v>1404</v>
      </c>
      <c r="C12" s="22" t="s">
        <v>1405</v>
      </c>
      <c r="D12" s="24" t="s">
        <v>1409</v>
      </c>
      <c r="E12" s="22" t="s">
        <v>1410</v>
      </c>
    </row>
    <row r="13" customFormat="false" ht="30" hidden="false" customHeight="true" outlineLevel="0" collapsed="false">
      <c r="A13" s="22" t="s">
        <v>1411</v>
      </c>
      <c r="B13" s="22" t="s">
        <v>1412</v>
      </c>
      <c r="C13" s="22" t="s">
        <v>50</v>
      </c>
      <c r="D13" s="24" t="s">
        <v>1249</v>
      </c>
      <c r="E13" s="22" t="s">
        <v>1413</v>
      </c>
    </row>
    <row r="14" customFormat="false" ht="30" hidden="false" customHeight="true" outlineLevel="0" collapsed="false">
      <c r="A14" s="22" t="s">
        <v>1414</v>
      </c>
      <c r="B14" s="22" t="s">
        <v>1415</v>
      </c>
      <c r="C14" s="22" t="s">
        <v>1385</v>
      </c>
      <c r="D14" s="24" t="s">
        <v>1416</v>
      </c>
      <c r="E14" s="22" t="s">
        <v>1417</v>
      </c>
    </row>
    <row r="15" customFormat="false" ht="30" hidden="false" customHeight="true" outlineLevel="0" collapsed="false">
      <c r="A15" s="22" t="s">
        <v>1418</v>
      </c>
      <c r="B15" s="22" t="s">
        <v>1419</v>
      </c>
      <c r="C15" s="22" t="s">
        <v>50</v>
      </c>
      <c r="D15" s="24" t="s">
        <v>1420</v>
      </c>
      <c r="E15" s="22" t="s">
        <v>1421</v>
      </c>
    </row>
    <row r="16" customFormat="false" ht="30" hidden="false" customHeight="true" outlineLevel="0" collapsed="false">
      <c r="A16" s="22" t="s">
        <v>1422</v>
      </c>
      <c r="B16" s="22" t="s">
        <v>1423</v>
      </c>
      <c r="C16" s="22" t="s">
        <v>1405</v>
      </c>
      <c r="D16" s="22" t="s">
        <v>1424</v>
      </c>
      <c r="E16" s="22" t="s">
        <v>1425</v>
      </c>
    </row>
    <row r="18" customFormat="false" ht="15" hidden="false" customHeight="false" outlineLevel="0" collapsed="false">
      <c r="A18" s="33" t="s">
        <v>1426</v>
      </c>
    </row>
    <row r="19" customFormat="false" ht="15" hidden="false" customHeight="false" outlineLevel="0" collapsed="false">
      <c r="A19" s="7" t="s">
        <v>1427</v>
      </c>
      <c r="B19" s="7" t="s">
        <v>1428</v>
      </c>
    </row>
    <row r="20" customFormat="false" ht="15" hidden="false" customHeight="false" outlineLevel="0" collapsed="false">
      <c r="A20" s="7" t="s">
        <v>1427</v>
      </c>
      <c r="B20" s="7" t="s">
        <v>1429</v>
      </c>
    </row>
    <row r="21" customFormat="false" ht="15" hidden="false" customHeight="false" outlineLevel="0" collapsed="false">
      <c r="A21" s="7" t="s">
        <v>1427</v>
      </c>
      <c r="B21" s="7" t="s">
        <v>1430</v>
      </c>
    </row>
    <row r="22" customFormat="false" ht="15" hidden="false" customHeight="false" outlineLevel="0" collapsed="false">
      <c r="A22" s="7" t="s">
        <v>1427</v>
      </c>
      <c r="B22" s="7" t="s">
        <v>1431</v>
      </c>
    </row>
    <row r="23" customFormat="false" ht="15" hidden="false" customHeight="false" outlineLevel="0" collapsed="false">
      <c r="A23" s="7" t="s">
        <v>1427</v>
      </c>
      <c r="B23" s="7" t="s">
        <v>1432</v>
      </c>
    </row>
    <row r="24" customFormat="false" ht="15" hidden="false" customHeight="false" outlineLevel="0" collapsed="false">
      <c r="A24" s="7" t="s">
        <v>1427</v>
      </c>
      <c r="B24" s="7" t="s">
        <v>1433</v>
      </c>
    </row>
    <row r="25" customFormat="false" ht="15" hidden="false" customHeight="false" outlineLevel="0" collapsed="false">
      <c r="A25" s="7" t="s">
        <v>1427</v>
      </c>
      <c r="B25" s="7" t="s">
        <v>1434</v>
      </c>
    </row>
  </sheetData>
  <hyperlinks>
    <hyperlink ref="D4" r:id="rId1" display="https://www.karriere.at/jobs/it/salzburg"/>
    <hyperlink ref="D5" r:id="rId2" display="https://karriere.sn.at/"/>
    <hyperlink ref="D6" r:id="rId3" display="https://jobs.salzburg24.at/jobs/it-edv/salzburg-stadt"/>
    <hyperlink ref="D7" r:id="rId4" display="https://www.salzburgerjobs.at/"/>
    <hyperlink ref="D8" r:id="rId5" display="https://www.stepstone.at/jobs/english-speaking/in-salzburg"/>
    <hyperlink ref="D9" r:id="rId6" display="https://jobinsalzburg.com/"/>
    <hyperlink ref="D10" r:id="rId7" display="https://englishjobsearch.at/in/salzburg-stadt"/>
    <hyperlink ref="D11" r:id="rId8" display="https://www.glassdoor.com/Job/salzburg-english-jobs-SRCH_IL.0,8_IC3080206_KO9,16.htm"/>
    <hyperlink ref="D12" r:id="rId9" display="https://www.linkedin.com/jobs/"/>
    <hyperlink ref="D13" r:id="rId10" display="https://jobs.ams.at/"/>
    <hyperlink ref="D14" r:id="rId11" display="https://devjobs.at/"/>
    <hyperlink ref="D15" r:id="rId12" display="https://hokify.a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0"/>
    <col collapsed="false" customWidth="true" hidden="false" outlineLevel="0" max="3" min="3" style="0" width="46"/>
    <col collapsed="false" customWidth="true" hidden="false" outlineLevel="0" max="4" min="4" style="0" width="70"/>
    <col collapsed="false" customWidth="true" hidden="false" outlineLevel="0" max="5" min="5" style="0" width="18"/>
    <col collapsed="false" customWidth="true" hidden="false" outlineLevel="0" max="6" min="6" style="0" width="12"/>
  </cols>
  <sheetData>
    <row r="1" customFormat="false" ht="17.35" hidden="false" customHeight="false" outlineLevel="0" collapsed="false">
      <c r="A1" s="19" t="s">
        <v>1435</v>
      </c>
    </row>
    <row r="2" customFormat="false" ht="15" hidden="false" customHeight="false" outlineLevel="0" collapsed="false">
      <c r="A2" s="2" t="s">
        <v>1436</v>
      </c>
    </row>
    <row r="3" customFormat="false" ht="15" hidden="false" customHeight="false" outlineLevel="0" collapsed="false">
      <c r="A3" s="21" t="s">
        <v>1437</v>
      </c>
      <c r="B3" s="21" t="s">
        <v>79</v>
      </c>
      <c r="C3" s="21" t="s">
        <v>1438</v>
      </c>
      <c r="D3" s="21" t="s">
        <v>1439</v>
      </c>
      <c r="E3" s="21" t="s">
        <v>1440</v>
      </c>
      <c r="F3" s="21" t="s">
        <v>1441</v>
      </c>
    </row>
    <row r="4" customFormat="false" ht="43.5" hidden="false" customHeight="true" outlineLevel="0" collapsed="false">
      <c r="A4" s="22" t="s">
        <v>1442</v>
      </c>
      <c r="B4" s="22" t="s">
        <v>1443</v>
      </c>
      <c r="C4" s="22" t="s">
        <v>1444</v>
      </c>
      <c r="D4" s="22" t="s">
        <v>1445</v>
      </c>
      <c r="E4" s="22" t="s">
        <v>1446</v>
      </c>
      <c r="F4" s="34" t="n">
        <v>54</v>
      </c>
    </row>
    <row r="5" customFormat="false" ht="43.5" hidden="false" customHeight="true" outlineLevel="0" collapsed="false">
      <c r="A5" s="22" t="s">
        <v>1447</v>
      </c>
      <c r="B5" s="22" t="s">
        <v>1443</v>
      </c>
      <c r="C5" s="22" t="s">
        <v>1448</v>
      </c>
      <c r="D5" s="22" t="s">
        <v>1449</v>
      </c>
      <c r="E5" s="22" t="s">
        <v>1450</v>
      </c>
      <c r="F5" s="34" t="s">
        <v>119</v>
      </c>
    </row>
    <row r="6" customFormat="false" ht="43.5" hidden="false" customHeight="true" outlineLevel="0" collapsed="false">
      <c r="A6" s="22" t="s">
        <v>1451</v>
      </c>
      <c r="B6" s="22" t="s">
        <v>1452</v>
      </c>
      <c r="C6" s="22" t="s">
        <v>1453</v>
      </c>
      <c r="D6" s="22" t="s">
        <v>1454</v>
      </c>
      <c r="E6" s="22" t="s">
        <v>1455</v>
      </c>
      <c r="F6" s="34" t="n">
        <v>26</v>
      </c>
    </row>
    <row r="7" customFormat="false" ht="43.5" hidden="false" customHeight="true" outlineLevel="0" collapsed="false">
      <c r="A7" s="22" t="s">
        <v>1456</v>
      </c>
      <c r="B7" s="22" t="s">
        <v>1452</v>
      </c>
      <c r="C7" s="22" t="s">
        <v>1457</v>
      </c>
      <c r="D7" s="22" t="s">
        <v>1458</v>
      </c>
      <c r="E7" s="22" t="s">
        <v>1459</v>
      </c>
      <c r="F7" s="34" t="s">
        <v>119</v>
      </c>
    </row>
    <row r="8" customFormat="false" ht="43.5" hidden="false" customHeight="true" outlineLevel="0" collapsed="false">
      <c r="A8" s="22" t="s">
        <v>1460</v>
      </c>
      <c r="B8" s="22" t="s">
        <v>1452</v>
      </c>
      <c r="C8" s="22" t="s">
        <v>1461</v>
      </c>
      <c r="D8" s="22" t="s">
        <v>1462</v>
      </c>
      <c r="E8" s="22" t="s">
        <v>1463</v>
      </c>
      <c r="F8" s="34" t="n">
        <v>6</v>
      </c>
    </row>
    <row r="9" customFormat="false" ht="43.5" hidden="false" customHeight="true" outlineLevel="0" collapsed="false">
      <c r="A9" s="22" t="s">
        <v>1464</v>
      </c>
      <c r="B9" s="22" t="s">
        <v>1465</v>
      </c>
      <c r="C9" s="22" t="s">
        <v>1466</v>
      </c>
      <c r="D9" s="22" t="s">
        <v>1467</v>
      </c>
      <c r="E9" s="22" t="s">
        <v>1459</v>
      </c>
      <c r="F9" s="34" t="n">
        <v>39</v>
      </c>
    </row>
    <row r="10" customFormat="false" ht="43.5" hidden="false" customHeight="true" outlineLevel="0" collapsed="false">
      <c r="A10" s="22" t="s">
        <v>1468</v>
      </c>
      <c r="B10" s="22" t="s">
        <v>1465</v>
      </c>
      <c r="C10" s="22" t="s">
        <v>1469</v>
      </c>
      <c r="D10" s="22" t="s">
        <v>1470</v>
      </c>
      <c r="E10" s="22" t="s">
        <v>1459</v>
      </c>
      <c r="F10" s="34" t="n">
        <v>6</v>
      </c>
    </row>
    <row r="11" customFormat="false" ht="43.5" hidden="false" customHeight="true" outlineLevel="0" collapsed="false">
      <c r="A11" s="22" t="s">
        <v>1471</v>
      </c>
      <c r="B11" s="22" t="s">
        <v>1465</v>
      </c>
      <c r="C11" s="22" t="s">
        <v>1472</v>
      </c>
      <c r="D11" s="22" t="s">
        <v>1473</v>
      </c>
      <c r="E11" s="22" t="s">
        <v>1474</v>
      </c>
      <c r="F11" s="34" t="n">
        <v>11</v>
      </c>
    </row>
    <row r="12" customFormat="false" ht="43.5" hidden="false" customHeight="true" outlineLevel="0" collapsed="false">
      <c r="A12" s="22" t="s">
        <v>1475</v>
      </c>
      <c r="B12" s="22" t="s">
        <v>1465</v>
      </c>
      <c r="C12" s="22" t="s">
        <v>1476</v>
      </c>
      <c r="D12" s="22" t="s">
        <v>1477</v>
      </c>
      <c r="E12" s="22" t="s">
        <v>1478</v>
      </c>
      <c r="F12" s="34" t="s">
        <v>119</v>
      </c>
    </row>
    <row r="13" customFormat="false" ht="43.5" hidden="false" customHeight="true" outlineLevel="0" collapsed="false">
      <c r="A13" s="22" t="s">
        <v>1479</v>
      </c>
      <c r="B13" s="22" t="s">
        <v>1480</v>
      </c>
      <c r="C13" s="22" t="s">
        <v>1481</v>
      </c>
      <c r="D13" s="22" t="s">
        <v>1482</v>
      </c>
      <c r="E13" s="22" t="s">
        <v>1478</v>
      </c>
      <c r="F13" s="34" t="s">
        <v>119</v>
      </c>
    </row>
    <row r="14" customFormat="false" ht="43.5" hidden="false" customHeight="true" outlineLevel="0" collapsed="false">
      <c r="A14" s="22" t="s">
        <v>1483</v>
      </c>
      <c r="B14" s="22" t="s">
        <v>1480</v>
      </c>
      <c r="C14" s="22" t="s">
        <v>1484</v>
      </c>
      <c r="D14" s="22" t="s">
        <v>1485</v>
      </c>
      <c r="E14" s="22" t="s">
        <v>1486</v>
      </c>
      <c r="F14" s="34" t="n">
        <v>16</v>
      </c>
    </row>
    <row r="15" customFormat="false" ht="15" hidden="false" customHeight="false" outlineLevel="0" collapsed="false">
      <c r="A15" s="22" t="s">
        <v>1487</v>
      </c>
      <c r="B15" s="22" t="s">
        <v>1452</v>
      </c>
      <c r="C15" s="22" t="s">
        <v>1488</v>
      </c>
      <c r="D15" s="22" t="s">
        <v>1489</v>
      </c>
      <c r="E15" s="22" t="s">
        <v>1459</v>
      </c>
      <c r="F15" s="34" t="n">
        <v>25</v>
      </c>
    </row>
    <row r="16" customFormat="false" ht="15" hidden="false" customHeight="false" outlineLevel="0" collapsed="false">
      <c r="A16" s="22" t="s">
        <v>1490</v>
      </c>
      <c r="B16" s="22" t="s">
        <v>1480</v>
      </c>
      <c r="C16" s="22" t="s">
        <v>1491</v>
      </c>
      <c r="D16" s="22" t="s">
        <v>1492</v>
      </c>
      <c r="E16" s="22" t="s">
        <v>119</v>
      </c>
      <c r="F16" s="34" t="n">
        <v>5</v>
      </c>
    </row>
    <row r="18" customFormat="false" ht="15" hidden="false" customHeight="false" outlineLevel="0" collapsed="false">
      <c r="A18" s="3" t="s">
        <v>1493</v>
      </c>
    </row>
    <row r="19" customFormat="false" ht="30" hidden="false" customHeight="true" outlineLevel="0" collapsed="false">
      <c r="A19" s="4" t="s">
        <v>1494</v>
      </c>
      <c r="B19" s="5" t="s">
        <v>1495</v>
      </c>
      <c r="C19" s="5"/>
      <c r="D19" s="5"/>
      <c r="E19" s="5"/>
      <c r="F19" s="5"/>
    </row>
    <row r="20" customFormat="false" ht="30" hidden="false" customHeight="true" outlineLevel="0" collapsed="false">
      <c r="A20" s="4" t="s">
        <v>1496</v>
      </c>
      <c r="B20" s="5" t="s">
        <v>1497</v>
      </c>
      <c r="C20" s="5"/>
      <c r="D20" s="5"/>
      <c r="E20" s="5"/>
      <c r="F20" s="5"/>
    </row>
    <row r="21" customFormat="false" ht="30" hidden="false" customHeight="true" outlineLevel="0" collapsed="false">
      <c r="A21" s="4" t="s">
        <v>1498</v>
      </c>
      <c r="B21" s="5" t="s">
        <v>1499</v>
      </c>
      <c r="C21" s="5"/>
      <c r="D21" s="5"/>
      <c r="E21" s="5"/>
      <c r="F21" s="5"/>
    </row>
    <row r="22" customFormat="false" ht="30" hidden="false" customHeight="true" outlineLevel="0" collapsed="false">
      <c r="A22" s="4" t="s">
        <v>1500</v>
      </c>
      <c r="B22" s="5" t="s">
        <v>1501</v>
      </c>
      <c r="C22" s="5"/>
      <c r="D22" s="5"/>
      <c r="E22" s="5"/>
      <c r="F22" s="5"/>
    </row>
    <row r="23" customFormat="false" ht="30" hidden="false" customHeight="true" outlineLevel="0" collapsed="false">
      <c r="A23" s="4" t="s">
        <v>1502</v>
      </c>
      <c r="B23" s="5" t="s">
        <v>1503</v>
      </c>
      <c r="C23" s="5"/>
      <c r="D23" s="5"/>
      <c r="E23" s="5"/>
      <c r="F23" s="5"/>
    </row>
  </sheetData>
  <mergeCells count="5">
    <mergeCell ref="B19:F19"/>
    <mergeCell ref="B20:F20"/>
    <mergeCell ref="B21:F21"/>
    <mergeCell ref="B22:F22"/>
    <mergeCell ref="B23:F23"/>
  </mergeCells>
  <conditionalFormatting sqref="B4:B16">
    <cfRule type="expression" priority="2" aboveAverage="0" equalAverage="0" bottom="0" percent="0" rank="0" text="" dxfId="76">
      <formula>B4="Kritik"</formula>
    </cfRule>
    <cfRule type="expression" priority="3" aboveAverage="0" equalAverage="0" bottom="0" percent="0" rank="0" text="" dxfId="69">
      <formula>B4="Yüksek"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44"/>
    <col collapsed="false" customWidth="true" hidden="false" outlineLevel="0" max="3" min="3" style="0" width="80"/>
  </cols>
  <sheetData>
    <row r="1" customFormat="false" ht="17.35" hidden="false" customHeight="false" outlineLevel="0" collapsed="false">
      <c r="A1" s="19" t="s">
        <v>1504</v>
      </c>
    </row>
    <row r="3" customFormat="false" ht="15" hidden="false" customHeight="false" outlineLevel="0" collapsed="false">
      <c r="A3" s="21" t="s">
        <v>1505</v>
      </c>
      <c r="B3" s="21" t="s">
        <v>1506</v>
      </c>
      <c r="C3" s="21" t="s">
        <v>1507</v>
      </c>
    </row>
    <row r="4" customFormat="false" ht="30" hidden="false" customHeight="true" outlineLevel="0" collapsed="false">
      <c r="A4" s="22" t="s">
        <v>1508</v>
      </c>
      <c r="B4" s="22" t="s">
        <v>1509</v>
      </c>
      <c r="C4" s="22" t="s">
        <v>1510</v>
      </c>
    </row>
    <row r="5" customFormat="false" ht="30" hidden="false" customHeight="true" outlineLevel="0" collapsed="false">
      <c r="A5" s="22" t="s">
        <v>1511</v>
      </c>
      <c r="B5" s="22" t="s">
        <v>1512</v>
      </c>
      <c r="C5" s="22" t="s">
        <v>1510</v>
      </c>
    </row>
    <row r="6" customFormat="false" ht="30" hidden="false" customHeight="true" outlineLevel="0" collapsed="false">
      <c r="A6" s="22" t="s">
        <v>1513</v>
      </c>
      <c r="B6" s="22" t="s">
        <v>1514</v>
      </c>
      <c r="C6" s="22" t="s">
        <v>1510</v>
      </c>
    </row>
    <row r="7" customFormat="false" ht="30" hidden="false" customHeight="true" outlineLevel="0" collapsed="false">
      <c r="A7" s="22" t="s">
        <v>223</v>
      </c>
      <c r="B7" s="22" t="s">
        <v>1515</v>
      </c>
      <c r="C7" s="22" t="s">
        <v>1510</v>
      </c>
    </row>
    <row r="8" customFormat="false" ht="30" hidden="false" customHeight="true" outlineLevel="0" collapsed="false">
      <c r="A8" s="22" t="s">
        <v>210</v>
      </c>
      <c r="B8" s="22" t="s">
        <v>1516</v>
      </c>
      <c r="C8" s="22" t="s">
        <v>1510</v>
      </c>
    </row>
    <row r="9" customFormat="false" ht="30" hidden="false" customHeight="true" outlineLevel="0" collapsed="false">
      <c r="A9" s="22" t="s">
        <v>1517</v>
      </c>
      <c r="B9" s="22" t="s">
        <v>1518</v>
      </c>
      <c r="C9" s="22" t="s">
        <v>1519</v>
      </c>
    </row>
    <row r="10" customFormat="false" ht="30" hidden="false" customHeight="true" outlineLevel="0" collapsed="false">
      <c r="A10" s="22" t="s">
        <v>1520</v>
      </c>
      <c r="B10" s="22" t="s">
        <v>1521</v>
      </c>
      <c r="C10" s="22" t="s">
        <v>1522</v>
      </c>
    </row>
    <row r="13" customFormat="false" ht="15" hidden="false" customHeight="false" outlineLevel="0" collapsed="false">
      <c r="A13" s="3" t="s">
        <v>1523</v>
      </c>
    </row>
    <row r="14" customFormat="false" ht="31.5" hidden="false" customHeight="true" outlineLevel="0" collapsed="false">
      <c r="A14" s="5" t="s">
        <v>1524</v>
      </c>
      <c r="B14" s="5"/>
      <c r="C14" s="5"/>
    </row>
    <row r="15" customFormat="false" ht="31.5" hidden="false" customHeight="true" outlineLevel="0" collapsed="false">
      <c r="A15" s="5" t="s">
        <v>1525</v>
      </c>
      <c r="B15" s="5"/>
      <c r="C15" s="5"/>
    </row>
    <row r="16" customFormat="false" ht="31.5" hidden="false" customHeight="true" outlineLevel="0" collapsed="false">
      <c r="A16" s="5" t="s">
        <v>1526</v>
      </c>
      <c r="B16" s="5"/>
      <c r="C16" s="5"/>
    </row>
    <row r="17" customFormat="false" ht="31.5" hidden="false" customHeight="true" outlineLevel="0" collapsed="false">
      <c r="A17" s="5" t="s">
        <v>1527</v>
      </c>
      <c r="B17" s="5"/>
      <c r="C17" s="5"/>
    </row>
    <row r="18" customFormat="false" ht="31.5" hidden="false" customHeight="true" outlineLevel="0" collapsed="false">
      <c r="A18" s="5" t="s">
        <v>1528</v>
      </c>
      <c r="B18" s="5"/>
      <c r="C18" s="5"/>
    </row>
    <row r="19" customFormat="false" ht="31.5" hidden="false" customHeight="true" outlineLevel="0" collapsed="false">
      <c r="A19" s="5" t="s">
        <v>1529</v>
      </c>
      <c r="B19" s="5"/>
      <c r="C19" s="5"/>
    </row>
  </sheetData>
  <mergeCells count="6">
    <mergeCell ref="A14:C14"/>
    <mergeCell ref="A15:C15"/>
    <mergeCell ref="A16:C16"/>
    <mergeCell ref="A17:C17"/>
    <mergeCell ref="A18:C18"/>
    <mergeCell ref="A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42"/>
    <col collapsed="false" customWidth="true" hidden="false" outlineLevel="0" max="4" min="4" style="0" width="30"/>
    <col collapsed="false" customWidth="true" hidden="false" outlineLevel="0" max="5" min="5" style="0" width="60"/>
    <col collapsed="false" customWidth="true" hidden="false" outlineLevel="0" max="7" min="6" style="0" width="40"/>
    <col collapsed="false" customWidth="true" hidden="false" outlineLevel="0" max="8" min="8" style="0" width="34"/>
  </cols>
  <sheetData>
    <row r="1" customFormat="false" ht="17.35" hidden="false" customHeight="false" outlineLevel="0" collapsed="false">
      <c r="A1" s="19" t="s">
        <v>1530</v>
      </c>
    </row>
    <row r="2" customFormat="false" ht="15" hidden="false" customHeight="false" outlineLevel="0" collapsed="false">
      <c r="A2" s="2" t="s">
        <v>1531</v>
      </c>
    </row>
    <row r="4" customFormat="false" ht="15" hidden="false" customHeight="false" outlineLevel="0" collapsed="false">
      <c r="A4" s="21" t="s">
        <v>92</v>
      </c>
      <c r="B4" s="21" t="s">
        <v>1532</v>
      </c>
      <c r="C4" s="21" t="s">
        <v>1533</v>
      </c>
      <c r="D4" s="21" t="s">
        <v>1534</v>
      </c>
      <c r="E4" s="21" t="s">
        <v>1535</v>
      </c>
      <c r="F4" s="21" t="s">
        <v>1536</v>
      </c>
      <c r="G4" s="21" t="s">
        <v>1537</v>
      </c>
      <c r="H4" s="21" t="s">
        <v>1538</v>
      </c>
    </row>
    <row r="5" customFormat="false" ht="36" hidden="false" customHeight="true" outlineLevel="0" collapsed="false">
      <c r="A5" s="22" t="n">
        <v>1</v>
      </c>
      <c r="B5" s="22" t="s">
        <v>1539</v>
      </c>
      <c r="C5" s="22" t="s">
        <v>1540</v>
      </c>
      <c r="D5" s="22" t="s">
        <v>1541</v>
      </c>
      <c r="E5" s="22" t="s">
        <v>1542</v>
      </c>
      <c r="F5" s="35" t="s">
        <v>1543</v>
      </c>
      <c r="G5" s="22"/>
      <c r="H5" s="22" t="s">
        <v>1544</v>
      </c>
    </row>
    <row r="6" customFormat="false" ht="36" hidden="false" customHeight="true" outlineLevel="0" collapsed="false">
      <c r="A6" s="22" t="n">
        <v>2</v>
      </c>
      <c r="B6" s="22" t="s">
        <v>1545</v>
      </c>
      <c r="C6" s="22" t="s">
        <v>1546</v>
      </c>
      <c r="D6" s="22" t="s">
        <v>1541</v>
      </c>
      <c r="E6" s="22" t="s">
        <v>1547</v>
      </c>
      <c r="F6" s="35" t="s">
        <v>1548</v>
      </c>
      <c r="G6" s="22"/>
      <c r="H6" s="22" t="s">
        <v>1544</v>
      </c>
    </row>
    <row r="7" customFormat="false" ht="36" hidden="false" customHeight="true" outlineLevel="0" collapsed="false">
      <c r="A7" s="22" t="n">
        <v>3</v>
      </c>
      <c r="B7" s="22" t="s">
        <v>1549</v>
      </c>
      <c r="C7" s="22" t="s">
        <v>1550</v>
      </c>
      <c r="D7" s="22" t="s">
        <v>1541</v>
      </c>
      <c r="E7" s="22" t="s">
        <v>1551</v>
      </c>
      <c r="F7" s="35" t="s">
        <v>1552</v>
      </c>
      <c r="G7" s="22"/>
      <c r="H7" s="22"/>
    </row>
    <row r="8" customFormat="false" ht="36" hidden="false" customHeight="true" outlineLevel="0" collapsed="false">
      <c r="A8" s="22" t="n">
        <v>4</v>
      </c>
      <c r="B8" s="22" t="s">
        <v>1539</v>
      </c>
      <c r="C8" s="22" t="s">
        <v>1553</v>
      </c>
      <c r="D8" s="22" t="s">
        <v>1541</v>
      </c>
      <c r="E8" s="22" t="s">
        <v>1554</v>
      </c>
      <c r="F8" s="35" t="s">
        <v>1555</v>
      </c>
      <c r="G8" s="22"/>
      <c r="H8" s="22"/>
    </row>
    <row r="9" customFormat="false" ht="36" hidden="false" customHeight="true" outlineLevel="0" collapsed="false">
      <c r="A9" s="22" t="n">
        <v>5</v>
      </c>
      <c r="B9" s="22" t="s">
        <v>1556</v>
      </c>
      <c r="C9" s="22" t="s">
        <v>1557</v>
      </c>
      <c r="D9" s="22" t="s">
        <v>1541</v>
      </c>
      <c r="E9" s="22" t="s">
        <v>1558</v>
      </c>
      <c r="F9" s="35" t="s">
        <v>1559</v>
      </c>
      <c r="G9" s="22"/>
      <c r="H9" s="22"/>
    </row>
    <row r="10" customFormat="false" ht="36" hidden="false" customHeight="true" outlineLevel="0" collapsed="false">
      <c r="A10" s="22" t="n">
        <v>6</v>
      </c>
      <c r="B10" s="22" t="s">
        <v>1545</v>
      </c>
      <c r="C10" s="22" t="s">
        <v>1560</v>
      </c>
      <c r="D10" s="22" t="s">
        <v>1541</v>
      </c>
      <c r="E10" s="22" t="s">
        <v>1561</v>
      </c>
      <c r="F10" s="35" t="s">
        <v>1562</v>
      </c>
      <c r="G10" s="22"/>
      <c r="H10" s="22"/>
    </row>
    <row r="11" customFormat="false" ht="36" hidden="false" customHeight="true" outlineLevel="0" collapsed="false">
      <c r="A11" s="22" t="n">
        <v>7</v>
      </c>
      <c r="B11" s="22" t="s">
        <v>1549</v>
      </c>
      <c r="C11" s="22" t="s">
        <v>1563</v>
      </c>
      <c r="D11" s="22" t="s">
        <v>1541</v>
      </c>
      <c r="E11" s="22" t="s">
        <v>1564</v>
      </c>
      <c r="F11" s="35" t="s">
        <v>1565</v>
      </c>
      <c r="G11" s="22"/>
      <c r="H11" s="22"/>
    </row>
    <row r="12" customFormat="false" ht="36" hidden="false" customHeight="true" outlineLevel="0" collapsed="false">
      <c r="A12" s="22" t="n">
        <v>8</v>
      </c>
      <c r="B12" s="22" t="s">
        <v>1566</v>
      </c>
      <c r="C12" s="22" t="s">
        <v>1567</v>
      </c>
      <c r="D12" s="22" t="s">
        <v>1568</v>
      </c>
      <c r="E12" s="22" t="s">
        <v>1569</v>
      </c>
      <c r="F12" s="35" t="s">
        <v>1570</v>
      </c>
      <c r="G12" s="23" t="s">
        <v>289</v>
      </c>
      <c r="H12" s="22"/>
    </row>
    <row r="13" customFormat="false" ht="36" hidden="false" customHeight="true" outlineLevel="0" collapsed="false">
      <c r="A13" s="22" t="n">
        <v>9</v>
      </c>
      <c r="B13" s="22" t="s">
        <v>397</v>
      </c>
      <c r="C13" s="22" t="s">
        <v>398</v>
      </c>
      <c r="D13" s="22" t="s">
        <v>1568</v>
      </c>
      <c r="E13" s="22" t="s">
        <v>1569</v>
      </c>
      <c r="F13" s="35" t="s">
        <v>1571</v>
      </c>
      <c r="G13" s="23" t="s">
        <v>401</v>
      </c>
      <c r="H13" s="22"/>
    </row>
    <row r="14" customFormat="false" ht="36" hidden="false" customHeight="true" outlineLevel="0" collapsed="false">
      <c r="A14" s="22" t="n">
        <v>10</v>
      </c>
      <c r="B14" s="22" t="s">
        <v>1572</v>
      </c>
      <c r="C14" s="22" t="s">
        <v>1573</v>
      </c>
      <c r="D14" s="22" t="s">
        <v>1574</v>
      </c>
      <c r="E14" s="22" t="s">
        <v>1575</v>
      </c>
      <c r="F14" s="35" t="s">
        <v>1294</v>
      </c>
      <c r="G14" s="22"/>
      <c r="H14" s="22" t="s">
        <v>1544</v>
      </c>
    </row>
    <row r="15" customFormat="false" ht="36" hidden="false" customHeight="true" outlineLevel="0" collapsed="false">
      <c r="A15" s="22" t="n">
        <v>11</v>
      </c>
      <c r="B15" s="22" t="s">
        <v>1539</v>
      </c>
      <c r="C15" s="22" t="s">
        <v>246</v>
      </c>
      <c r="D15" s="22" t="s">
        <v>1568</v>
      </c>
      <c r="E15" s="22" t="s">
        <v>1576</v>
      </c>
      <c r="F15" s="35" t="s">
        <v>1577</v>
      </c>
      <c r="G15" s="23" t="s">
        <v>251</v>
      </c>
      <c r="H15" s="22" t="s">
        <v>1578</v>
      </c>
    </row>
    <row r="16" customFormat="false" ht="36" hidden="false" customHeight="true" outlineLevel="0" collapsed="false">
      <c r="A16" s="22" t="n">
        <v>12</v>
      </c>
      <c r="B16" s="22" t="s">
        <v>132</v>
      </c>
      <c r="C16" s="22" t="s">
        <v>1579</v>
      </c>
      <c r="D16" s="22" t="s">
        <v>1541</v>
      </c>
      <c r="E16" s="22" t="s">
        <v>1580</v>
      </c>
      <c r="F16" s="35" t="s">
        <v>1581</v>
      </c>
      <c r="G16" s="22"/>
      <c r="H16" s="22"/>
    </row>
    <row r="17" customFormat="false" ht="36" hidden="false" customHeight="true" outlineLevel="0" collapsed="false">
      <c r="A17" s="22" t="n">
        <v>13</v>
      </c>
      <c r="B17" s="22" t="s">
        <v>1556</v>
      </c>
      <c r="C17" s="22" t="s">
        <v>1582</v>
      </c>
      <c r="D17" s="22" t="s">
        <v>1541</v>
      </c>
      <c r="E17" s="22" t="s">
        <v>1583</v>
      </c>
      <c r="F17" s="35" t="s">
        <v>1584</v>
      </c>
      <c r="G17" s="22"/>
      <c r="H17" s="22" t="s">
        <v>1544</v>
      </c>
    </row>
    <row r="18" customFormat="false" ht="36" hidden="false" customHeight="true" outlineLevel="0" collapsed="false">
      <c r="A18" s="22" t="n">
        <v>14</v>
      </c>
      <c r="B18" s="22" t="s">
        <v>1556</v>
      </c>
      <c r="C18" s="22" t="s">
        <v>1585</v>
      </c>
      <c r="D18" s="22" t="s">
        <v>1541</v>
      </c>
      <c r="E18" s="22" t="s">
        <v>1586</v>
      </c>
      <c r="F18" s="35" t="s">
        <v>1587</v>
      </c>
      <c r="G18" s="22"/>
      <c r="H18" s="22"/>
    </row>
    <row r="19" customFormat="false" ht="36" hidden="false" customHeight="true" outlineLevel="0" collapsed="false">
      <c r="A19" s="22" t="n">
        <v>15</v>
      </c>
      <c r="B19" s="22" t="s">
        <v>1588</v>
      </c>
      <c r="C19" s="22" t="s">
        <v>1589</v>
      </c>
      <c r="D19" s="22" t="s">
        <v>1541</v>
      </c>
      <c r="E19" s="22" t="s">
        <v>1561</v>
      </c>
      <c r="F19" s="35" t="s">
        <v>1590</v>
      </c>
      <c r="G19" s="22"/>
      <c r="H19" s="22"/>
    </row>
    <row r="20" customFormat="false" ht="36" hidden="false" customHeight="true" outlineLevel="0" collapsed="false">
      <c r="A20" s="22" t="n">
        <v>16</v>
      </c>
      <c r="B20" s="22" t="s">
        <v>378</v>
      </c>
      <c r="C20" s="22" t="s">
        <v>1591</v>
      </c>
      <c r="D20" s="22" t="s">
        <v>1568</v>
      </c>
      <c r="E20" s="22" t="s">
        <v>1569</v>
      </c>
      <c r="F20" s="35" t="s">
        <v>1592</v>
      </c>
      <c r="G20" s="23" t="s">
        <v>383</v>
      </c>
      <c r="H20" s="22"/>
    </row>
    <row r="21" customFormat="false" ht="36" hidden="false" customHeight="true" outlineLevel="0" collapsed="false">
      <c r="A21" s="22" t="n">
        <v>17</v>
      </c>
      <c r="B21" s="22" t="s">
        <v>1593</v>
      </c>
      <c r="C21" s="22" t="s">
        <v>1594</v>
      </c>
      <c r="D21" s="22" t="s">
        <v>1595</v>
      </c>
      <c r="E21" s="22" t="s">
        <v>1596</v>
      </c>
      <c r="F21" s="35" t="s">
        <v>1597</v>
      </c>
      <c r="G21" s="22"/>
      <c r="H21" s="22"/>
    </row>
    <row r="22" customFormat="false" ht="36" hidden="false" customHeight="true" outlineLevel="0" collapsed="false">
      <c r="A22" s="22" t="n">
        <v>18</v>
      </c>
      <c r="B22" s="22" t="s">
        <v>314</v>
      </c>
      <c r="C22" s="22" t="s">
        <v>315</v>
      </c>
      <c r="D22" s="22" t="s">
        <v>1568</v>
      </c>
      <c r="E22" s="22" t="s">
        <v>1569</v>
      </c>
      <c r="F22" s="35" t="s">
        <v>1598</v>
      </c>
      <c r="G22" s="23" t="s">
        <v>319</v>
      </c>
      <c r="H22" s="22"/>
    </row>
    <row r="23" customFormat="false" ht="36" hidden="false" customHeight="true" outlineLevel="0" collapsed="false">
      <c r="A23" s="22" t="n">
        <v>19</v>
      </c>
      <c r="B23" s="22" t="s">
        <v>132</v>
      </c>
      <c r="C23" s="22" t="s">
        <v>1599</v>
      </c>
      <c r="D23" s="22" t="s">
        <v>1541</v>
      </c>
      <c r="E23" s="22" t="s">
        <v>1580</v>
      </c>
      <c r="F23" s="35" t="s">
        <v>1600</v>
      </c>
      <c r="G23" s="22"/>
      <c r="H23" s="22"/>
    </row>
    <row r="24" customFormat="false" ht="36" hidden="false" customHeight="true" outlineLevel="0" collapsed="false">
      <c r="A24" s="22" t="n">
        <v>20</v>
      </c>
      <c r="B24" s="22" t="s">
        <v>388</v>
      </c>
      <c r="C24" s="22" t="s">
        <v>1601</v>
      </c>
      <c r="D24" s="22" t="s">
        <v>1541</v>
      </c>
      <c r="E24" s="22" t="s">
        <v>1602</v>
      </c>
      <c r="F24" s="35" t="s">
        <v>1603</v>
      </c>
      <c r="G24" s="22"/>
      <c r="H24" s="22"/>
    </row>
    <row r="25" customFormat="false" ht="36" hidden="false" customHeight="true" outlineLevel="0" collapsed="false">
      <c r="A25" s="22" t="n">
        <v>21</v>
      </c>
      <c r="B25" s="22" t="s">
        <v>1549</v>
      </c>
      <c r="C25" s="22" t="s">
        <v>1604</v>
      </c>
      <c r="D25" s="22" t="s">
        <v>1541</v>
      </c>
      <c r="E25" s="22" t="s">
        <v>1564</v>
      </c>
      <c r="F25" s="35" t="s">
        <v>1605</v>
      </c>
      <c r="G25" s="22"/>
      <c r="H25" s="22"/>
    </row>
    <row r="26" customFormat="false" ht="36" hidden="false" customHeight="true" outlineLevel="0" collapsed="false">
      <c r="A26" s="22" t="n">
        <v>22</v>
      </c>
      <c r="B26" s="22" t="s">
        <v>526</v>
      </c>
      <c r="C26" s="22" t="s">
        <v>1606</v>
      </c>
      <c r="D26" s="22" t="s">
        <v>1607</v>
      </c>
      <c r="E26" s="22" t="s">
        <v>1608</v>
      </c>
      <c r="F26" s="35" t="s">
        <v>1609</v>
      </c>
      <c r="G26" s="23" t="s">
        <v>870</v>
      </c>
      <c r="H26" s="22"/>
    </row>
    <row r="27" customFormat="false" ht="36" hidden="false" customHeight="true" outlineLevel="0" collapsed="false">
      <c r="A27" s="22" t="n">
        <v>23</v>
      </c>
      <c r="B27" s="22" t="s">
        <v>1610</v>
      </c>
      <c r="C27" s="22" t="s">
        <v>1611</v>
      </c>
      <c r="D27" s="22" t="s">
        <v>1541</v>
      </c>
      <c r="E27" s="22" t="s">
        <v>1612</v>
      </c>
      <c r="F27" s="35" t="s">
        <v>1613</v>
      </c>
      <c r="G27" s="22"/>
      <c r="H27" s="22"/>
    </row>
    <row r="28" customFormat="false" ht="36" hidden="false" customHeight="true" outlineLevel="0" collapsed="false">
      <c r="A28" s="22" t="n">
        <v>24</v>
      </c>
      <c r="B28" s="22" t="s">
        <v>1614</v>
      </c>
      <c r="C28" s="22" t="s">
        <v>1615</v>
      </c>
      <c r="D28" s="22" t="s">
        <v>1595</v>
      </c>
      <c r="E28" s="22" t="s">
        <v>1616</v>
      </c>
      <c r="F28" s="35" t="s">
        <v>1617</v>
      </c>
      <c r="G28" s="22"/>
      <c r="H28" s="22"/>
    </row>
    <row r="29" customFormat="false" ht="36" hidden="false" customHeight="true" outlineLevel="0" collapsed="false">
      <c r="A29" s="22" t="n">
        <v>25</v>
      </c>
      <c r="B29" s="22" t="s">
        <v>1539</v>
      </c>
      <c r="C29" s="22" t="s">
        <v>1618</v>
      </c>
      <c r="D29" s="22" t="s">
        <v>1541</v>
      </c>
      <c r="E29" s="22" t="s">
        <v>1619</v>
      </c>
      <c r="F29" s="35" t="s">
        <v>1620</v>
      </c>
      <c r="G29" s="22"/>
      <c r="H29" s="22"/>
    </row>
    <row r="30" customFormat="false" ht="36" hidden="false" customHeight="true" outlineLevel="0" collapsed="false">
      <c r="A30" s="22" t="n">
        <v>26</v>
      </c>
      <c r="B30" s="22" t="s">
        <v>1296</v>
      </c>
      <c r="C30" s="22" t="s">
        <v>1621</v>
      </c>
      <c r="D30" s="22" t="s">
        <v>1622</v>
      </c>
      <c r="E30" s="22" t="s">
        <v>1623</v>
      </c>
      <c r="F30" s="35" t="s">
        <v>1624</v>
      </c>
      <c r="G30" s="22"/>
      <c r="H30" s="22"/>
    </row>
    <row r="31" customFormat="false" ht="36" hidden="false" customHeight="true" outlineLevel="0" collapsed="false">
      <c r="A31" s="22" t="n">
        <v>27</v>
      </c>
      <c r="B31" s="22" t="s">
        <v>1625</v>
      </c>
      <c r="C31" s="22" t="s">
        <v>1626</v>
      </c>
      <c r="D31" s="22" t="s">
        <v>1627</v>
      </c>
      <c r="E31" s="22" t="s">
        <v>1628</v>
      </c>
      <c r="F31" s="35" t="s">
        <v>1629</v>
      </c>
      <c r="G31" s="22"/>
      <c r="H31" s="22"/>
    </row>
    <row r="32" customFormat="false" ht="36" hidden="false" customHeight="true" outlineLevel="0" collapsed="false">
      <c r="A32" s="22" t="n">
        <v>28</v>
      </c>
      <c r="B32" s="22" t="s">
        <v>1630</v>
      </c>
      <c r="C32" s="22" t="s">
        <v>893</v>
      </c>
      <c r="D32" s="22" t="s">
        <v>1568</v>
      </c>
      <c r="E32" s="22" t="s">
        <v>1569</v>
      </c>
      <c r="F32" s="35" t="s">
        <v>1631</v>
      </c>
      <c r="G32" s="23" t="s">
        <v>894</v>
      </c>
      <c r="H32" s="22"/>
    </row>
    <row r="33" customFormat="false" ht="36" hidden="false" customHeight="true" outlineLevel="0" collapsed="false">
      <c r="A33" s="22" t="n">
        <v>29</v>
      </c>
      <c r="B33" s="22" t="s">
        <v>1632</v>
      </c>
      <c r="C33" s="22" t="s">
        <v>1633</v>
      </c>
      <c r="D33" s="22" t="s">
        <v>1595</v>
      </c>
      <c r="E33" s="22" t="s">
        <v>1634</v>
      </c>
      <c r="F33" s="35" t="s">
        <v>1635</v>
      </c>
      <c r="G33" s="22"/>
      <c r="H33" s="22"/>
    </row>
    <row r="34" customFormat="false" ht="36" hidden="false" customHeight="true" outlineLevel="0" collapsed="false">
      <c r="A34" s="22" t="n">
        <v>30</v>
      </c>
      <c r="B34" s="22" t="s">
        <v>1636</v>
      </c>
      <c r="C34" s="22" t="s">
        <v>1637</v>
      </c>
      <c r="D34" s="22" t="s">
        <v>1607</v>
      </c>
      <c r="E34" s="22" t="s">
        <v>1638</v>
      </c>
      <c r="F34" s="35" t="s">
        <v>1639</v>
      </c>
      <c r="G34" s="23" t="s">
        <v>419</v>
      </c>
      <c r="H34" s="22"/>
    </row>
    <row r="35" customFormat="false" ht="36" hidden="false" customHeight="true" outlineLevel="0" collapsed="false">
      <c r="A35" s="22" t="n">
        <v>31</v>
      </c>
      <c r="B35" s="22" t="s">
        <v>1640</v>
      </c>
      <c r="C35" s="22" t="s">
        <v>1641</v>
      </c>
      <c r="D35" s="22" t="s">
        <v>1622</v>
      </c>
      <c r="E35" s="22" t="s">
        <v>1642</v>
      </c>
      <c r="F35" s="35" t="s">
        <v>1643</v>
      </c>
      <c r="G35" s="22"/>
      <c r="H35" s="22"/>
    </row>
    <row r="36" customFormat="false" ht="36" hidden="false" customHeight="true" outlineLevel="0" collapsed="false">
      <c r="A36" s="22" t="n">
        <v>32</v>
      </c>
      <c r="B36" s="22" t="s">
        <v>1644</v>
      </c>
      <c r="C36" s="22" t="s">
        <v>1645</v>
      </c>
      <c r="D36" s="22" t="s">
        <v>1541</v>
      </c>
      <c r="E36" s="22" t="s">
        <v>1561</v>
      </c>
      <c r="F36" s="35" t="s">
        <v>1646</v>
      </c>
      <c r="G36" s="22"/>
      <c r="H36" s="22"/>
    </row>
    <row r="37" customFormat="false" ht="36" hidden="false" customHeight="true" outlineLevel="0" collapsed="false">
      <c r="A37" s="22" t="n">
        <v>33</v>
      </c>
      <c r="B37" s="22" t="s">
        <v>388</v>
      </c>
      <c r="C37" s="22" t="s">
        <v>595</v>
      </c>
      <c r="D37" s="22" t="s">
        <v>1568</v>
      </c>
      <c r="E37" s="22" t="s">
        <v>1647</v>
      </c>
      <c r="F37" s="35" t="s">
        <v>599</v>
      </c>
      <c r="G37" s="23" t="s">
        <v>599</v>
      </c>
      <c r="H37" s="22"/>
    </row>
    <row r="38" customFormat="false" ht="36" hidden="false" customHeight="true" outlineLevel="0" collapsed="false">
      <c r="A38" s="22" t="n">
        <v>34</v>
      </c>
      <c r="B38" s="22" t="s">
        <v>1648</v>
      </c>
      <c r="C38" s="22" t="s">
        <v>1649</v>
      </c>
      <c r="D38" s="22" t="s">
        <v>1541</v>
      </c>
      <c r="E38" s="22" t="s">
        <v>1561</v>
      </c>
      <c r="F38" s="35" t="s">
        <v>1650</v>
      </c>
      <c r="G38" s="22"/>
      <c r="H38" s="22"/>
    </row>
    <row r="39" customFormat="false" ht="36" hidden="false" customHeight="true" outlineLevel="0" collapsed="false">
      <c r="A39" s="22" t="n">
        <v>35</v>
      </c>
      <c r="B39" s="22" t="s">
        <v>1651</v>
      </c>
      <c r="C39" s="22" t="s">
        <v>1652</v>
      </c>
      <c r="D39" s="22" t="s">
        <v>1607</v>
      </c>
      <c r="E39" s="22" t="s">
        <v>1653</v>
      </c>
      <c r="F39" s="35" t="s">
        <v>1654</v>
      </c>
      <c r="G39" s="23" t="s">
        <v>617</v>
      </c>
      <c r="H39" s="22"/>
    </row>
    <row r="40" customFormat="false" ht="36" hidden="false" customHeight="true" outlineLevel="0" collapsed="false">
      <c r="A40" s="22" t="n">
        <v>36</v>
      </c>
      <c r="B40" s="22" t="s">
        <v>1655</v>
      </c>
      <c r="C40" s="22" t="s">
        <v>406</v>
      </c>
      <c r="D40" s="22" t="s">
        <v>1627</v>
      </c>
      <c r="E40" s="22" t="s">
        <v>1656</v>
      </c>
      <c r="F40" s="35" t="s">
        <v>1657</v>
      </c>
      <c r="G40" s="22"/>
      <c r="H40" s="22"/>
    </row>
    <row r="41" customFormat="false" ht="36" hidden="false" customHeight="true" outlineLevel="0" collapsed="false">
      <c r="A41" s="22" t="n">
        <v>37</v>
      </c>
      <c r="B41" s="22" t="s">
        <v>455</v>
      </c>
      <c r="C41" s="22" t="s">
        <v>1658</v>
      </c>
      <c r="D41" s="22" t="s">
        <v>1607</v>
      </c>
      <c r="E41" s="22" t="s">
        <v>1638</v>
      </c>
      <c r="F41" s="35" t="s">
        <v>1659</v>
      </c>
      <c r="G41" s="23" t="s">
        <v>459</v>
      </c>
      <c r="H41" s="22"/>
    </row>
    <row r="42" customFormat="false" ht="36" hidden="false" customHeight="true" outlineLevel="0" collapsed="false">
      <c r="A42" s="22" t="n">
        <v>38</v>
      </c>
      <c r="B42" s="22" t="s">
        <v>388</v>
      </c>
      <c r="C42" s="22" t="s">
        <v>492</v>
      </c>
      <c r="D42" s="22" t="s">
        <v>1568</v>
      </c>
      <c r="E42" s="22" t="s">
        <v>1569</v>
      </c>
      <c r="F42" s="35" t="s">
        <v>496</v>
      </c>
      <c r="G42" s="23" t="s">
        <v>495</v>
      </c>
      <c r="H42" s="22"/>
    </row>
    <row r="43" customFormat="false" ht="36" hidden="false" customHeight="true" outlineLevel="0" collapsed="false">
      <c r="A43" s="22" t="n">
        <v>39</v>
      </c>
      <c r="B43" s="22" t="s">
        <v>1660</v>
      </c>
      <c r="C43" s="22" t="s">
        <v>1661</v>
      </c>
      <c r="D43" s="22" t="s">
        <v>1595</v>
      </c>
      <c r="E43" s="22" t="s">
        <v>1662</v>
      </c>
      <c r="F43" s="35" t="s">
        <v>1663</v>
      </c>
      <c r="G43" s="22"/>
      <c r="H43" s="22"/>
    </row>
    <row r="44" customFormat="false" ht="36" hidden="false" customHeight="true" outlineLevel="0" collapsed="false">
      <c r="A44" s="22" t="n">
        <v>40</v>
      </c>
      <c r="B44" s="22" t="s">
        <v>623</v>
      </c>
      <c r="C44" s="22" t="s">
        <v>1664</v>
      </c>
      <c r="D44" s="22" t="s">
        <v>1568</v>
      </c>
      <c r="E44" s="22" t="s">
        <v>1569</v>
      </c>
      <c r="F44" s="35" t="s">
        <v>1665</v>
      </c>
      <c r="G44" s="23" t="s">
        <v>635</v>
      </c>
      <c r="H44" s="22"/>
    </row>
    <row r="45" customFormat="false" ht="36" hidden="false" customHeight="true" outlineLevel="0" collapsed="false">
      <c r="A45" s="22" t="n">
        <v>41</v>
      </c>
      <c r="B45" s="22" t="s">
        <v>1666</v>
      </c>
      <c r="C45" s="22" t="s">
        <v>1667</v>
      </c>
      <c r="D45" s="22" t="s">
        <v>1607</v>
      </c>
      <c r="E45" s="22" t="s">
        <v>1569</v>
      </c>
      <c r="F45" s="35" t="s">
        <v>1668</v>
      </c>
      <c r="G45" s="23" t="s">
        <v>425</v>
      </c>
      <c r="H45" s="22"/>
    </row>
    <row r="46" customFormat="false" ht="36" hidden="false" customHeight="true" outlineLevel="0" collapsed="false">
      <c r="A46" s="22" t="n">
        <v>42</v>
      </c>
      <c r="B46" s="22" t="s">
        <v>1669</v>
      </c>
      <c r="C46" s="22" t="s">
        <v>1670</v>
      </c>
      <c r="D46" s="22" t="s">
        <v>1541</v>
      </c>
      <c r="E46" s="22" t="s">
        <v>1671</v>
      </c>
      <c r="F46" s="35" t="s">
        <v>1672</v>
      </c>
      <c r="G46" s="22"/>
      <c r="H46" s="22"/>
    </row>
    <row r="47" customFormat="false" ht="36" hidden="false" customHeight="true" outlineLevel="0" collapsed="false">
      <c r="A47" s="22" t="n">
        <v>43</v>
      </c>
      <c r="B47" s="22" t="s">
        <v>1566</v>
      </c>
      <c r="C47" s="22" t="s">
        <v>1673</v>
      </c>
      <c r="D47" s="22" t="s">
        <v>1541</v>
      </c>
      <c r="E47" s="22" t="s">
        <v>1561</v>
      </c>
      <c r="F47" s="35" t="s">
        <v>1674</v>
      </c>
      <c r="G47" s="22"/>
      <c r="H47" s="22"/>
    </row>
    <row r="48" customFormat="false" ht="36" hidden="false" customHeight="true" outlineLevel="0" collapsed="false">
      <c r="A48" s="22" t="n">
        <v>44</v>
      </c>
      <c r="B48" s="22" t="s">
        <v>1556</v>
      </c>
      <c r="C48" s="22" t="s">
        <v>1675</v>
      </c>
      <c r="D48" s="22" t="s">
        <v>1541</v>
      </c>
      <c r="E48" s="22" t="s">
        <v>1676</v>
      </c>
      <c r="F48" s="35"/>
      <c r="G48" s="22"/>
      <c r="H48" s="22" t="s">
        <v>1544</v>
      </c>
    </row>
  </sheetData>
  <autoFilter ref="A4:H48"/>
  <conditionalFormatting sqref="D5:D48">
    <cfRule type="expression" priority="2" aboveAverage="0" equalAverage="0" bottom="0" percent="0" rank="0" text="" dxfId="68">
      <formula>LEFT(D5,5)="CANLI"</formula>
    </cfRule>
    <cfRule type="expression" priority="3" aboveAverage="0" equalAverage="0" bottom="0" percent="0" rank="0" text="" dxfId="76">
      <formula>LEFT(D5,6)="KAPALI"</formula>
    </cfRule>
    <cfRule type="expression" priority="4" aboveAverage="0" equalAverage="0" bottom="0" percent="0" rank="0" text="" dxfId="76">
      <formula>LEFT(D5,4)="ESKİ"</formula>
    </cfRule>
    <cfRule type="expression" priority="5" aboveAverage="0" equalAverage="0" bottom="0" percent="0" rank="0" text="" dxfId="75">
      <formula>LEFT(D5,10)="BULUNAMADI"</formula>
    </cfRule>
    <cfRule type="expression" priority="6" aboveAverage="0" equalAverage="0" bottom="0" percent="0" rank="0" text="" dxfId="69">
      <formula>LEFT(D5,10)="İLAN DEĞİL"</formula>
    </cfRule>
  </conditionalFormatting>
  <hyperlinks>
    <hyperlink ref="F5" r:id="rId1" display="https://www.palfinger.com/en-mx/career/jobs/infrastructure-operations-manager-m/f/d_k_876428"/>
    <hyperlink ref="F6" r:id="rId2" display="https://www.wuestenrot.at/de/ueber-uns/karriere/offene-stellen/information-security-manager-in-m-w-d.html"/>
    <hyperlink ref="F7" r:id="rId3" display="https://job-boards.greenhouse.io/insightassurance/jobs/5032616008"/>
    <hyperlink ref="F8" r:id="rId4" display="https://www.palfinger.com/en-us/career/jobs/it-project-manager-w/m/d_k_1736785"/>
    <hyperlink ref="F9" r:id="rId5" display="https://jobs.smartrecruiters.com/RedBull/744000131403389-service-manager-server-cloud-security"/>
    <hyperlink ref="F10" r:id="rId6" display="https://www.wuestenrot.at/de/ueber-uns/karriere/offene-stellen/experte-in-information-security-m-w-d.html"/>
    <hyperlink ref="F11" r:id="rId7" display="https://job-boards.greenhouse.io/insightassurance/jobs/5032737008"/>
    <hyperlink ref="F12" r:id="rId8" display="https://www.it-career.at/68428/0/Information-Security-Consultant-(w-m-d)"/>
    <hyperlink ref="G12" r:id="rId9" display="https://www.karriere.at/jobs/7829969"/>
    <hyperlink ref="F13" r:id="rId10" display="https://www.karriere.at/jobs/senoplast"/>
    <hyperlink ref="G13" r:id="rId11" display="https://www.karriere.at/jobs/10024962"/>
    <hyperlink ref="F14" r:id="rId12" display="https://www.techsearch.at/jobs/269996-SPTS/it-team-leiter-w-m-d"/>
    <hyperlink ref="F15" r:id="rId13" display="https://www.karriere.at/jobs/7762442"/>
    <hyperlink ref="G15" r:id="rId14" display="https://www.linkedin.com/jobs/view/4461705351"/>
    <hyperlink ref="F16" r:id="rId15" display="https://www.skidata.com/jobs/career/global-service-performance-manager-49574-en_us"/>
    <hyperlink ref="F17" r:id="rId16" display="https://jobs.redbull.com/at-de/elsbethen-service-manager-security-incident-management--ref28783m?lang=en"/>
    <hyperlink ref="F18" r:id="rId17" display="https://jobs.smartrecruiters.com/RedBull/744000132364914-infrastructure-architect"/>
    <hyperlink ref="F19" r:id="rId18" display="https://hai.jobs/professionals/category/it/4cf6fa25-934c-58f4-a639-8b41841f3043"/>
    <hyperlink ref="F20" r:id="rId19" display="https://jobs-at.ktm.com/Job/4319/Head-of-IT-Infrastructure--Operations"/>
    <hyperlink ref="G20" r:id="rId20" display="https://www.karriere.at/jobs/7852769"/>
    <hyperlink ref="F21" r:id="rId21" display="https://www.conova.com/karriere/"/>
    <hyperlink ref="F22" r:id="rId22" display="https://x-tention.com/de-AT/job/senior-cyber-security-consultant-project-manager-mwd"/>
    <hyperlink ref="G22" r:id="rId23" display="https://www.karriere.at/jobs/10033472"/>
    <hyperlink ref="F23" r:id="rId24" display="https://www.skidata.com/jobs/career/it-system-engineer-mwd-40865-en_us"/>
    <hyperlink ref="F24" r:id="rId25" display="https://www.karriere.at/jobs/7818677"/>
    <hyperlink ref="F25" r:id="rId26" display="https://job-boards.greenhouse.io/insightassurance/jobs/4887871008"/>
    <hyperlink ref="F26" r:id="rId27" display="https://bewerbung.kpmg.at/stellenausschreiben/56"/>
    <hyperlink ref="G26" r:id="rId28" display="https://www.karriere.at/jobs/7879333"/>
    <hyperlink ref="F27" r:id="rId29" display="https://careers.lamresearch.com/job/Salzburg-IT-Support-Systems-Administrator-(all-genders)/1198235600/"/>
    <hyperlink ref="F28" r:id="rId30" display="https://www.bmwgroup.jobs/en/jobfinder/job-description-copy.129634.html"/>
    <hyperlink ref="F29" r:id="rId31" display="https://www.palfinger.com/us/en/career/jobs/teamlead-application-management-operations--m-f-d-_6863.html"/>
    <hyperlink ref="F30" r:id="rId32" display="https://www.karriere.at/f/gointerim"/>
    <hyperlink ref="F31" r:id="rId33" display="https://www.grinnberg.de/it-job/job-inhouse-senior-netzwerkadministrator-w-m-x-im-raum-salzburg-id21081"/>
    <hyperlink ref="F32" r:id="rId34" display="https://karriere.salzburg-ag.at/Firewall-Network-Security-Engineer-all-genders-de-j2688.html"/>
    <hyperlink ref="G32" r:id="rId35" display="https://www.karriere.at/jobs/7839275"/>
    <hyperlink ref="F33" r:id="rId36" display="https://solbytech.at/unternehmen/jobs/"/>
    <hyperlink ref="F34" r:id="rId37" display="https://www.spar-ics.com/de/career/offene-stellen-consulting"/>
    <hyperlink ref="G34" r:id="rId38" display="https://www.karriere.at/jobs/7868473"/>
    <hyperlink ref="F35" r:id="rId39" display="https://www.dorida.at/karriere/"/>
    <hyperlink ref="F36" r:id="rId40" display="https://www.spaengler.at/bankhaus/karriere/senior-it-technikerin-74/"/>
    <hyperlink ref="F37" r:id="rId41" display="https://bewerbung.acp-gruppe.com/at/rx/906"/>
    <hyperlink ref="G37" r:id="rId42" display="https://bewerbung.acp-gruppe.com/at/rx/906"/>
    <hyperlink ref="F38" r:id="rId43" display="https://www.evgroup.com/de/karriere/jobs/it-administrator-mwx-fuer-domain-und-groupware-services-1"/>
    <hyperlink ref="F39" r:id="rId44" display="https://www.nts.eu/de/job/senior-systems-engineer-network-m-w-d/"/>
    <hyperlink ref="G39" r:id="rId45" display="https://www.karriere.at/jobs/7863661"/>
    <hyperlink ref="F40" r:id="rId46" display="https://www.grinnberg.de/it-job/job-it-job-als-systemadministrator-im-raum-salzburg-m-w-d-it-administrator-m-w-d-id21067"/>
    <hyperlink ref="F41" r:id="rId47" display="https://www.sanitas.at/karriere/it-systemspezialistenin-fuer-klinische-informationssysteme-mwd"/>
    <hyperlink ref="G41" r:id="rId48" display="https://www.karriere.at/jobs/10033575"/>
    <hyperlink ref="F42" r:id="rId49" display="https://bewerbung.acp-gruppe.com/at/rx/887"/>
    <hyperlink ref="G42" r:id="rId50" display="https://www.karriere.at/jobs/7860364"/>
    <hyperlink ref="F43" r:id="rId51" display="https://www.ottogroup.com/en/careers/job/03573527/information-security-specialist-m-w-d-"/>
    <hyperlink ref="F44" r:id="rId52" display="https://jobs.cancom.com/"/>
    <hyperlink ref="G44" r:id="rId53" display="https://www.karriere.at/jobs/7873291"/>
    <hyperlink ref="F45" r:id="rId54" display="https://messezentrum-salzburg-gmbh.jobs.personio.de/?language=de"/>
    <hyperlink ref="G45" r:id="rId55" display="https://www.karriere.at/jobs/10032419"/>
    <hyperlink ref="F46" r:id="rId56" display="https://jobs.cancom.com/System-Engineer-NetworkSecurity-wm-Junior-oder-Professiona-de-j69.html"/>
    <hyperlink ref="F47" r:id="rId57" display="https://www.kern-partner.at/jobs/job/214500.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8"/>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50"/>
    <col collapsed="false" customWidth="true" hidden="false" outlineLevel="0" max="4" min="4" style="0" width="30"/>
    <col collapsed="false" customWidth="true" hidden="false" outlineLevel="0" max="5" min="5" style="0" width="50"/>
    <col collapsed="false" customWidth="true" hidden="false" outlineLevel="0" max="6" min="6" style="0" width="40"/>
  </cols>
  <sheetData>
    <row r="1" customFormat="false" ht="17.35" hidden="false" customHeight="false" outlineLevel="0" collapsed="false">
      <c r="A1" s="19" t="s">
        <v>1677</v>
      </c>
    </row>
    <row r="2" customFormat="false" ht="15" hidden="false" customHeight="false" outlineLevel="0" collapsed="false">
      <c r="A2" s="2" t="s">
        <v>1678</v>
      </c>
    </row>
    <row r="4" customFormat="false" ht="15" hidden="false" customHeight="false" outlineLevel="0" collapsed="false">
      <c r="A4" s="21" t="s">
        <v>92</v>
      </c>
      <c r="B4" s="21" t="s">
        <v>73</v>
      </c>
      <c r="C4" s="21" t="s">
        <v>75</v>
      </c>
      <c r="D4" s="21" t="s">
        <v>76</v>
      </c>
      <c r="E4" s="21" t="s">
        <v>1679</v>
      </c>
      <c r="F4" s="21" t="s">
        <v>1373</v>
      </c>
    </row>
    <row r="5" customFormat="false" ht="27.75" hidden="false" customHeight="true" outlineLevel="0" collapsed="false">
      <c r="A5" s="22" t="n">
        <v>1</v>
      </c>
      <c r="B5" s="22" t="s">
        <v>1680</v>
      </c>
      <c r="C5" s="22" t="s">
        <v>1681</v>
      </c>
      <c r="D5" s="22" t="s">
        <v>181</v>
      </c>
      <c r="E5" s="22" t="s">
        <v>1682</v>
      </c>
      <c r="F5" s="24" t="s">
        <v>1683</v>
      </c>
    </row>
    <row r="6" customFormat="false" ht="27.75" hidden="false" customHeight="true" outlineLevel="0" collapsed="false">
      <c r="A6" s="22" t="n">
        <v>2</v>
      </c>
      <c r="B6" s="22" t="s">
        <v>1684</v>
      </c>
      <c r="C6" s="22" t="s">
        <v>1685</v>
      </c>
      <c r="D6" s="22" t="s">
        <v>1686</v>
      </c>
      <c r="E6" s="22" t="s">
        <v>1682</v>
      </c>
      <c r="F6" s="24" t="s">
        <v>1687</v>
      </c>
    </row>
    <row r="7" customFormat="false" ht="27.75" hidden="false" customHeight="true" outlineLevel="0" collapsed="false">
      <c r="A7" s="22" t="n">
        <v>3</v>
      </c>
      <c r="B7" s="22" t="s">
        <v>1684</v>
      </c>
      <c r="C7" s="22" t="s">
        <v>1688</v>
      </c>
      <c r="D7" s="22" t="s">
        <v>1686</v>
      </c>
      <c r="E7" s="22" t="s">
        <v>1682</v>
      </c>
      <c r="F7" s="24" t="s">
        <v>1689</v>
      </c>
    </row>
    <row r="8" customFormat="false" ht="27.75" hidden="false" customHeight="true" outlineLevel="0" collapsed="false">
      <c r="A8" s="22" t="n">
        <v>4</v>
      </c>
      <c r="B8" s="22" t="s">
        <v>1690</v>
      </c>
      <c r="C8" s="22" t="s">
        <v>1691</v>
      </c>
      <c r="D8" s="22" t="s">
        <v>1692</v>
      </c>
      <c r="E8" s="22" t="s">
        <v>1682</v>
      </c>
      <c r="F8" s="24" t="s">
        <v>1693</v>
      </c>
    </row>
    <row r="9" customFormat="false" ht="27.75" hidden="false" customHeight="true" outlineLevel="0" collapsed="false">
      <c r="A9" s="22" t="n">
        <v>5</v>
      </c>
      <c r="B9" s="22" t="s">
        <v>1694</v>
      </c>
      <c r="C9" s="22" t="s">
        <v>1695</v>
      </c>
      <c r="D9" s="22" t="s">
        <v>1696</v>
      </c>
      <c r="E9" s="22" t="s">
        <v>1682</v>
      </c>
      <c r="F9" s="24" t="s">
        <v>1697</v>
      </c>
    </row>
    <row r="10" customFormat="false" ht="27.75" hidden="false" customHeight="true" outlineLevel="0" collapsed="false">
      <c r="A10" s="22" t="n">
        <v>6</v>
      </c>
      <c r="B10" s="22" t="s">
        <v>1698</v>
      </c>
      <c r="C10" s="22" t="s">
        <v>1699</v>
      </c>
      <c r="D10" s="22" t="s">
        <v>181</v>
      </c>
      <c r="E10" s="22" t="s">
        <v>1682</v>
      </c>
      <c r="F10" s="24" t="s">
        <v>1700</v>
      </c>
    </row>
    <row r="11" customFormat="false" ht="27.75" hidden="false" customHeight="true" outlineLevel="0" collapsed="false">
      <c r="A11" s="22" t="n">
        <v>7</v>
      </c>
      <c r="B11" s="22" t="s">
        <v>1701</v>
      </c>
      <c r="C11" s="22" t="s">
        <v>1702</v>
      </c>
      <c r="D11" s="22" t="s">
        <v>846</v>
      </c>
      <c r="E11" s="22" t="s">
        <v>1682</v>
      </c>
      <c r="F11" s="24" t="s">
        <v>1703</v>
      </c>
    </row>
    <row r="12" customFormat="false" ht="27.75" hidden="false" customHeight="true" outlineLevel="0" collapsed="false">
      <c r="A12" s="22" t="n">
        <v>8</v>
      </c>
      <c r="B12" s="22" t="s">
        <v>1704</v>
      </c>
      <c r="C12" s="22" t="s">
        <v>1705</v>
      </c>
      <c r="D12" s="22" t="s">
        <v>390</v>
      </c>
      <c r="E12" s="22" t="s">
        <v>1682</v>
      </c>
      <c r="F12" s="24" t="s">
        <v>1706</v>
      </c>
    </row>
    <row r="13" customFormat="false" ht="27.75" hidden="false" customHeight="true" outlineLevel="0" collapsed="false">
      <c r="A13" s="22" t="n">
        <v>9</v>
      </c>
      <c r="B13" s="22" t="s">
        <v>1104</v>
      </c>
      <c r="C13" s="22" t="s">
        <v>1707</v>
      </c>
      <c r="D13" s="22" t="s">
        <v>1708</v>
      </c>
      <c r="E13" s="22" t="s">
        <v>1682</v>
      </c>
      <c r="F13" s="24" t="s">
        <v>1709</v>
      </c>
    </row>
    <row r="14" customFormat="false" ht="27.75" hidden="false" customHeight="true" outlineLevel="0" collapsed="false">
      <c r="A14" s="22" t="n">
        <v>10</v>
      </c>
      <c r="B14" s="22" t="s">
        <v>1710</v>
      </c>
      <c r="C14" s="22" t="s">
        <v>1711</v>
      </c>
      <c r="D14" s="22" t="s">
        <v>390</v>
      </c>
      <c r="E14" s="22" t="s">
        <v>1682</v>
      </c>
      <c r="F14" s="24" t="s">
        <v>1712</v>
      </c>
    </row>
    <row r="15" customFormat="false" ht="27.75" hidden="false" customHeight="true" outlineLevel="0" collapsed="false">
      <c r="A15" s="22" t="n">
        <v>11</v>
      </c>
      <c r="B15" s="22" t="s">
        <v>785</v>
      </c>
      <c r="C15" s="22" t="s">
        <v>1713</v>
      </c>
      <c r="D15" s="22" t="s">
        <v>1714</v>
      </c>
      <c r="E15" s="22" t="s">
        <v>1682</v>
      </c>
      <c r="F15" s="24" t="s">
        <v>1715</v>
      </c>
    </row>
    <row r="16" customFormat="false" ht="27.75" hidden="false" customHeight="true" outlineLevel="0" collapsed="false">
      <c r="A16" s="22" t="n">
        <v>12</v>
      </c>
      <c r="B16" s="22" t="s">
        <v>1716</v>
      </c>
      <c r="C16" s="22" t="s">
        <v>1717</v>
      </c>
      <c r="D16" s="22" t="s">
        <v>1718</v>
      </c>
      <c r="E16" s="22" t="s">
        <v>1682</v>
      </c>
      <c r="F16" s="24" t="s">
        <v>1719</v>
      </c>
    </row>
    <row r="17" customFormat="false" ht="27.75" hidden="false" customHeight="true" outlineLevel="0" collapsed="false">
      <c r="A17" s="22" t="n">
        <v>13</v>
      </c>
      <c r="B17" s="22" t="s">
        <v>1716</v>
      </c>
      <c r="C17" s="22" t="s">
        <v>1720</v>
      </c>
      <c r="D17" s="22" t="s">
        <v>1718</v>
      </c>
      <c r="E17" s="22" t="s">
        <v>1682</v>
      </c>
      <c r="F17" s="24" t="s">
        <v>1721</v>
      </c>
    </row>
    <row r="18" customFormat="false" ht="27.75" hidden="false" customHeight="true" outlineLevel="0" collapsed="false">
      <c r="A18" s="22" t="n">
        <v>14</v>
      </c>
      <c r="B18" s="22" t="s">
        <v>1722</v>
      </c>
      <c r="C18" s="22" t="s">
        <v>1723</v>
      </c>
      <c r="D18" s="22" t="s">
        <v>1724</v>
      </c>
      <c r="E18" s="22" t="s">
        <v>1682</v>
      </c>
      <c r="F18" s="24" t="s">
        <v>1725</v>
      </c>
    </row>
    <row r="19" customFormat="false" ht="27.75" hidden="false" customHeight="true" outlineLevel="0" collapsed="false">
      <c r="A19" s="22" t="n">
        <v>15</v>
      </c>
      <c r="B19" s="22" t="s">
        <v>623</v>
      </c>
      <c r="C19" s="22" t="s">
        <v>1726</v>
      </c>
      <c r="D19" s="22" t="s">
        <v>625</v>
      </c>
      <c r="E19" s="22" t="s">
        <v>1682</v>
      </c>
      <c r="F19" s="24" t="s">
        <v>1727</v>
      </c>
    </row>
    <row r="20" customFormat="false" ht="27.75" hidden="false" customHeight="true" outlineLevel="0" collapsed="false">
      <c r="A20" s="22" t="n">
        <v>16</v>
      </c>
      <c r="B20" s="22" t="s">
        <v>623</v>
      </c>
      <c r="C20" s="22" t="s">
        <v>1728</v>
      </c>
      <c r="D20" s="22" t="s">
        <v>625</v>
      </c>
      <c r="E20" s="22" t="s">
        <v>1682</v>
      </c>
      <c r="F20" s="24" t="s">
        <v>1729</v>
      </c>
    </row>
    <row r="21" customFormat="false" ht="27.75" hidden="false" customHeight="true" outlineLevel="0" collapsed="false">
      <c r="A21" s="22" t="n">
        <v>17</v>
      </c>
      <c r="B21" s="22" t="s">
        <v>1730</v>
      </c>
      <c r="C21" s="22" t="s">
        <v>1731</v>
      </c>
      <c r="D21" s="22" t="s">
        <v>390</v>
      </c>
      <c r="E21" s="22" t="s">
        <v>1682</v>
      </c>
      <c r="F21" s="24" t="s">
        <v>1732</v>
      </c>
    </row>
    <row r="22" customFormat="false" ht="27.75" hidden="false" customHeight="true" outlineLevel="0" collapsed="false">
      <c r="A22" s="22" t="n">
        <v>18</v>
      </c>
      <c r="B22" s="22" t="s">
        <v>1733</v>
      </c>
      <c r="C22" s="22" t="s">
        <v>1734</v>
      </c>
      <c r="D22" s="22" t="s">
        <v>348</v>
      </c>
      <c r="E22" s="22" t="s">
        <v>1682</v>
      </c>
      <c r="F22" s="24" t="s">
        <v>1735</v>
      </c>
    </row>
    <row r="23" customFormat="false" ht="27.75" hidden="false" customHeight="true" outlineLevel="0" collapsed="false">
      <c r="A23" s="22" t="n">
        <v>19</v>
      </c>
      <c r="B23" s="22" t="s">
        <v>1736</v>
      </c>
      <c r="C23" s="22" t="s">
        <v>1737</v>
      </c>
      <c r="D23" s="22" t="s">
        <v>181</v>
      </c>
      <c r="E23" s="22" t="s">
        <v>1682</v>
      </c>
      <c r="F23" s="24" t="s">
        <v>1738</v>
      </c>
    </row>
    <row r="24" customFormat="false" ht="27.75" hidden="false" customHeight="true" outlineLevel="0" collapsed="false">
      <c r="A24" s="22" t="n">
        <v>20</v>
      </c>
      <c r="B24" s="22" t="s">
        <v>358</v>
      </c>
      <c r="C24" s="22" t="s">
        <v>1739</v>
      </c>
      <c r="D24" s="22" t="s">
        <v>1740</v>
      </c>
      <c r="E24" s="22" t="s">
        <v>1682</v>
      </c>
      <c r="F24" s="24" t="s">
        <v>1741</v>
      </c>
    </row>
    <row r="25" customFormat="false" ht="27.75" hidden="false" customHeight="true" outlineLevel="0" collapsed="false">
      <c r="A25" s="22" t="n">
        <v>21</v>
      </c>
      <c r="B25" s="22" t="s">
        <v>358</v>
      </c>
      <c r="C25" s="22" t="s">
        <v>1742</v>
      </c>
      <c r="D25" s="22" t="s">
        <v>1740</v>
      </c>
      <c r="E25" s="22" t="s">
        <v>1682</v>
      </c>
      <c r="F25" s="24" t="s">
        <v>1743</v>
      </c>
    </row>
    <row r="26" customFormat="false" ht="27.75" hidden="false" customHeight="true" outlineLevel="0" collapsed="false">
      <c r="A26" s="22" t="n">
        <v>22</v>
      </c>
      <c r="B26" s="22" t="s">
        <v>358</v>
      </c>
      <c r="C26" s="22" t="s">
        <v>1744</v>
      </c>
      <c r="D26" s="22" t="s">
        <v>1740</v>
      </c>
      <c r="E26" s="22" t="s">
        <v>1682</v>
      </c>
      <c r="F26" s="24" t="s">
        <v>1745</v>
      </c>
    </row>
    <row r="27" customFormat="false" ht="27.75" hidden="false" customHeight="true" outlineLevel="0" collapsed="false">
      <c r="A27" s="22" t="n">
        <v>23</v>
      </c>
      <c r="B27" s="22" t="s">
        <v>358</v>
      </c>
      <c r="C27" s="22" t="s">
        <v>1746</v>
      </c>
      <c r="D27" s="22" t="s">
        <v>181</v>
      </c>
      <c r="E27" s="22" t="s">
        <v>1682</v>
      </c>
      <c r="F27" s="24" t="s">
        <v>1747</v>
      </c>
    </row>
    <row r="28" customFormat="false" ht="27.75" hidden="false" customHeight="true" outlineLevel="0" collapsed="false">
      <c r="A28" s="22" t="n">
        <v>24</v>
      </c>
      <c r="B28" s="22" t="s">
        <v>660</v>
      </c>
      <c r="C28" s="22" t="s">
        <v>1748</v>
      </c>
      <c r="D28" s="22" t="s">
        <v>662</v>
      </c>
      <c r="E28" s="22" t="s">
        <v>1682</v>
      </c>
      <c r="F28" s="24" t="s">
        <v>1749</v>
      </c>
    </row>
    <row r="29" customFormat="false" ht="27.75" hidden="false" customHeight="true" outlineLevel="0" collapsed="false">
      <c r="A29" s="22" t="n">
        <v>25</v>
      </c>
      <c r="B29" s="22" t="s">
        <v>1750</v>
      </c>
      <c r="C29" s="22" t="s">
        <v>1751</v>
      </c>
      <c r="D29" s="22" t="s">
        <v>1752</v>
      </c>
      <c r="E29" s="22" t="s">
        <v>1682</v>
      </c>
      <c r="F29" s="24" t="s">
        <v>1753</v>
      </c>
    </row>
    <row r="30" customFormat="false" ht="27.75" hidden="false" customHeight="true" outlineLevel="0" collapsed="false">
      <c r="A30" s="22" t="n">
        <v>26</v>
      </c>
      <c r="B30" s="22" t="s">
        <v>1754</v>
      </c>
      <c r="C30" s="22" t="s">
        <v>1755</v>
      </c>
      <c r="D30" s="22" t="s">
        <v>653</v>
      </c>
      <c r="E30" s="22" t="s">
        <v>1682</v>
      </c>
      <c r="F30" s="24" t="s">
        <v>1756</v>
      </c>
    </row>
    <row r="31" customFormat="false" ht="27.75" hidden="false" customHeight="true" outlineLevel="0" collapsed="false">
      <c r="A31" s="22" t="n">
        <v>27</v>
      </c>
      <c r="B31" s="22" t="s">
        <v>1754</v>
      </c>
      <c r="C31" s="22" t="s">
        <v>1757</v>
      </c>
      <c r="D31" s="22" t="s">
        <v>653</v>
      </c>
      <c r="E31" s="22" t="s">
        <v>1682</v>
      </c>
      <c r="F31" s="24" t="s">
        <v>1758</v>
      </c>
    </row>
    <row r="32" customFormat="false" ht="27.75" hidden="false" customHeight="true" outlineLevel="0" collapsed="false">
      <c r="A32" s="22" t="n">
        <v>28</v>
      </c>
      <c r="B32" s="22" t="s">
        <v>1044</v>
      </c>
      <c r="C32" s="22" t="s">
        <v>1759</v>
      </c>
      <c r="D32" s="22" t="s">
        <v>1046</v>
      </c>
      <c r="E32" s="22" t="s">
        <v>1682</v>
      </c>
      <c r="F32" s="24" t="s">
        <v>1760</v>
      </c>
    </row>
    <row r="33" customFormat="false" ht="27.75" hidden="false" customHeight="true" outlineLevel="0" collapsed="false">
      <c r="A33" s="22" t="n">
        <v>29</v>
      </c>
      <c r="B33" s="22" t="s">
        <v>1761</v>
      </c>
      <c r="C33" s="22" t="s">
        <v>1762</v>
      </c>
      <c r="D33" s="22" t="s">
        <v>1763</v>
      </c>
      <c r="E33" s="22" t="s">
        <v>1682</v>
      </c>
      <c r="F33" s="24" t="s">
        <v>1764</v>
      </c>
    </row>
    <row r="34" customFormat="false" ht="27.75" hidden="false" customHeight="true" outlineLevel="0" collapsed="false">
      <c r="A34" s="22" t="n">
        <v>30</v>
      </c>
      <c r="B34" s="22" t="s">
        <v>1765</v>
      </c>
      <c r="C34" s="22" t="s">
        <v>1766</v>
      </c>
      <c r="D34" s="22" t="s">
        <v>1767</v>
      </c>
      <c r="E34" s="22" t="s">
        <v>1682</v>
      </c>
      <c r="F34" s="24" t="s">
        <v>1768</v>
      </c>
    </row>
    <row r="35" customFormat="false" ht="27.75" hidden="false" customHeight="true" outlineLevel="0" collapsed="false">
      <c r="A35" s="22" t="n">
        <v>31</v>
      </c>
      <c r="B35" s="22" t="s">
        <v>1769</v>
      </c>
      <c r="C35" s="22" t="s">
        <v>1770</v>
      </c>
      <c r="D35" s="22" t="s">
        <v>1767</v>
      </c>
      <c r="E35" s="22" t="s">
        <v>1682</v>
      </c>
      <c r="F35" s="24" t="s">
        <v>1771</v>
      </c>
    </row>
    <row r="36" customFormat="false" ht="27.75" hidden="false" customHeight="true" outlineLevel="0" collapsed="false">
      <c r="A36" s="22" t="n">
        <v>32</v>
      </c>
      <c r="B36" s="22" t="s">
        <v>1772</v>
      </c>
      <c r="C36" s="22" t="s">
        <v>1773</v>
      </c>
      <c r="D36" s="22" t="s">
        <v>297</v>
      </c>
      <c r="E36" s="22" t="s">
        <v>1682</v>
      </c>
      <c r="F36" s="24" t="s">
        <v>1774</v>
      </c>
    </row>
    <row r="37" customFormat="false" ht="27.75" hidden="false" customHeight="true" outlineLevel="0" collapsed="false">
      <c r="A37" s="22" t="n">
        <v>33</v>
      </c>
      <c r="B37" s="22" t="s">
        <v>1775</v>
      </c>
      <c r="C37" s="22" t="s">
        <v>1776</v>
      </c>
      <c r="D37" s="22" t="s">
        <v>1777</v>
      </c>
      <c r="E37" s="22" t="s">
        <v>1682</v>
      </c>
      <c r="F37" s="24" t="s">
        <v>1778</v>
      </c>
    </row>
    <row r="38" customFormat="false" ht="27.75" hidden="false" customHeight="true" outlineLevel="0" collapsed="false">
      <c r="A38" s="22" t="n">
        <v>34</v>
      </c>
      <c r="B38" s="22" t="s">
        <v>1779</v>
      </c>
      <c r="C38" s="22" t="s">
        <v>1780</v>
      </c>
      <c r="D38" s="22" t="s">
        <v>181</v>
      </c>
      <c r="E38" s="22" t="s">
        <v>1682</v>
      </c>
      <c r="F38" s="24" t="s">
        <v>1781</v>
      </c>
    </row>
    <row r="39" customFormat="false" ht="27.75" hidden="false" customHeight="true" outlineLevel="0" collapsed="false">
      <c r="A39" s="22" t="n">
        <v>35</v>
      </c>
      <c r="B39" s="22" t="s">
        <v>378</v>
      </c>
      <c r="C39" s="22" t="s">
        <v>1782</v>
      </c>
      <c r="D39" s="22" t="s">
        <v>380</v>
      </c>
      <c r="E39" s="22" t="s">
        <v>1682</v>
      </c>
      <c r="F39" s="24" t="s">
        <v>1783</v>
      </c>
    </row>
    <row r="40" customFormat="false" ht="27.75" hidden="false" customHeight="true" outlineLevel="0" collapsed="false">
      <c r="A40" s="22" t="n">
        <v>36</v>
      </c>
      <c r="B40" s="22" t="s">
        <v>378</v>
      </c>
      <c r="C40" s="22" t="s">
        <v>1784</v>
      </c>
      <c r="D40" s="22" t="s">
        <v>380</v>
      </c>
      <c r="E40" s="22" t="s">
        <v>1682</v>
      </c>
      <c r="F40" s="24" t="s">
        <v>1785</v>
      </c>
    </row>
    <row r="41" customFormat="false" ht="27.75" hidden="false" customHeight="true" outlineLevel="0" collapsed="false">
      <c r="A41" s="22" t="n">
        <v>37</v>
      </c>
      <c r="B41" s="22" t="s">
        <v>378</v>
      </c>
      <c r="C41" s="22" t="s">
        <v>1786</v>
      </c>
      <c r="D41" s="22" t="s">
        <v>1787</v>
      </c>
      <c r="E41" s="22" t="s">
        <v>1682</v>
      </c>
      <c r="F41" s="24" t="s">
        <v>1788</v>
      </c>
    </row>
    <row r="42" customFormat="false" ht="27.75" hidden="false" customHeight="true" outlineLevel="0" collapsed="false">
      <c r="A42" s="22" t="n">
        <v>38</v>
      </c>
      <c r="B42" s="22" t="s">
        <v>1789</v>
      </c>
      <c r="C42" s="22" t="s">
        <v>1790</v>
      </c>
      <c r="D42" s="22" t="s">
        <v>1791</v>
      </c>
      <c r="E42" s="22" t="s">
        <v>1682</v>
      </c>
      <c r="F42" s="24" t="s">
        <v>1792</v>
      </c>
    </row>
    <row r="43" customFormat="false" ht="27.75" hidden="false" customHeight="true" outlineLevel="0" collapsed="false">
      <c r="A43" s="22" t="n">
        <v>39</v>
      </c>
      <c r="B43" s="22" t="s">
        <v>1793</v>
      </c>
      <c r="C43" s="22" t="s">
        <v>1794</v>
      </c>
      <c r="D43" s="22" t="s">
        <v>1795</v>
      </c>
      <c r="E43" s="22" t="s">
        <v>1682</v>
      </c>
      <c r="F43" s="24" t="s">
        <v>1796</v>
      </c>
    </row>
    <row r="44" customFormat="false" ht="27.75" hidden="false" customHeight="true" outlineLevel="0" collapsed="false">
      <c r="A44" s="22" t="n">
        <v>40</v>
      </c>
      <c r="B44" s="22" t="s">
        <v>1797</v>
      </c>
      <c r="C44" s="22" t="s">
        <v>1798</v>
      </c>
      <c r="D44" s="22" t="s">
        <v>181</v>
      </c>
      <c r="E44" s="22" t="s">
        <v>1682</v>
      </c>
      <c r="F44" s="24" t="s">
        <v>1799</v>
      </c>
    </row>
    <row r="45" customFormat="false" ht="27.75" hidden="false" customHeight="true" outlineLevel="0" collapsed="false">
      <c r="A45" s="22" t="n">
        <v>41</v>
      </c>
      <c r="B45" s="22" t="s">
        <v>1800</v>
      </c>
      <c r="C45" s="22" t="s">
        <v>1801</v>
      </c>
      <c r="D45" s="22" t="s">
        <v>258</v>
      </c>
      <c r="E45" s="22" t="s">
        <v>1682</v>
      </c>
      <c r="F45" s="24" t="s">
        <v>1802</v>
      </c>
    </row>
    <row r="46" customFormat="false" ht="27.75" hidden="false" customHeight="true" outlineLevel="0" collapsed="false">
      <c r="A46" s="22" t="n">
        <v>42</v>
      </c>
      <c r="B46" s="22" t="s">
        <v>1800</v>
      </c>
      <c r="C46" s="22" t="s">
        <v>1803</v>
      </c>
      <c r="D46" s="22" t="s">
        <v>258</v>
      </c>
      <c r="E46" s="22" t="s">
        <v>1682</v>
      </c>
      <c r="F46" s="24" t="s">
        <v>1804</v>
      </c>
    </row>
    <row r="47" customFormat="false" ht="27.75" hidden="false" customHeight="true" outlineLevel="0" collapsed="false">
      <c r="A47" s="22" t="n">
        <v>43</v>
      </c>
      <c r="B47" s="22" t="s">
        <v>1800</v>
      </c>
      <c r="C47" s="22" t="s">
        <v>1805</v>
      </c>
      <c r="D47" s="22" t="s">
        <v>258</v>
      </c>
      <c r="E47" s="22" t="s">
        <v>1682</v>
      </c>
      <c r="F47" s="24" t="s">
        <v>1806</v>
      </c>
    </row>
    <row r="48" customFormat="false" ht="27.75" hidden="false" customHeight="true" outlineLevel="0" collapsed="false">
      <c r="A48" s="22" t="n">
        <v>44</v>
      </c>
      <c r="B48" s="22" t="s">
        <v>1800</v>
      </c>
      <c r="C48" s="22" t="s">
        <v>1807</v>
      </c>
      <c r="D48" s="22" t="s">
        <v>258</v>
      </c>
      <c r="E48" s="22" t="s">
        <v>1682</v>
      </c>
      <c r="F48" s="24" t="s">
        <v>1808</v>
      </c>
    </row>
    <row r="49" customFormat="false" ht="27.75" hidden="false" customHeight="true" outlineLevel="0" collapsed="false">
      <c r="A49" s="22" t="n">
        <v>45</v>
      </c>
      <c r="B49" s="22" t="s">
        <v>1809</v>
      </c>
      <c r="C49" s="22" t="s">
        <v>1810</v>
      </c>
      <c r="D49" s="22" t="s">
        <v>181</v>
      </c>
      <c r="E49" s="22" t="s">
        <v>1682</v>
      </c>
      <c r="F49" s="24" t="s">
        <v>1811</v>
      </c>
    </row>
    <row r="50" customFormat="false" ht="27.75" hidden="false" customHeight="true" outlineLevel="0" collapsed="false">
      <c r="A50" s="22" t="n">
        <v>46</v>
      </c>
      <c r="B50" s="22" t="s">
        <v>1812</v>
      </c>
      <c r="C50" s="22" t="s">
        <v>1813</v>
      </c>
      <c r="D50" s="22" t="s">
        <v>297</v>
      </c>
      <c r="E50" s="22" t="s">
        <v>1682</v>
      </c>
      <c r="F50" s="24" t="s">
        <v>1814</v>
      </c>
    </row>
    <row r="51" customFormat="false" ht="27.75" hidden="false" customHeight="true" outlineLevel="0" collapsed="false">
      <c r="A51" s="22" t="n">
        <v>47</v>
      </c>
      <c r="B51" s="22" t="s">
        <v>1812</v>
      </c>
      <c r="C51" s="22" t="s">
        <v>1815</v>
      </c>
      <c r="D51" s="22" t="s">
        <v>297</v>
      </c>
      <c r="E51" s="22" t="s">
        <v>1682</v>
      </c>
      <c r="F51" s="24" t="s">
        <v>1816</v>
      </c>
    </row>
    <row r="52" customFormat="false" ht="27.75" hidden="false" customHeight="true" outlineLevel="0" collapsed="false">
      <c r="A52" s="22" t="n">
        <v>48</v>
      </c>
      <c r="B52" s="22" t="s">
        <v>1812</v>
      </c>
      <c r="C52" s="22" t="s">
        <v>1817</v>
      </c>
      <c r="D52" s="22" t="s">
        <v>297</v>
      </c>
      <c r="E52" s="22" t="s">
        <v>1682</v>
      </c>
      <c r="F52" s="24" t="s">
        <v>1818</v>
      </c>
    </row>
    <row r="53" customFormat="false" ht="27.75" hidden="false" customHeight="true" outlineLevel="0" collapsed="false">
      <c r="A53" s="22" t="n">
        <v>49</v>
      </c>
      <c r="B53" s="22" t="s">
        <v>1819</v>
      </c>
      <c r="C53" s="22" t="s">
        <v>1820</v>
      </c>
      <c r="D53" s="22" t="s">
        <v>297</v>
      </c>
      <c r="E53" s="22" t="s">
        <v>1682</v>
      </c>
      <c r="F53" s="24" t="s">
        <v>1821</v>
      </c>
    </row>
    <row r="54" customFormat="false" ht="27.75" hidden="false" customHeight="true" outlineLevel="0" collapsed="false">
      <c r="A54" s="22" t="n">
        <v>50</v>
      </c>
      <c r="B54" s="22" t="s">
        <v>1822</v>
      </c>
      <c r="C54" s="22" t="s">
        <v>1823</v>
      </c>
      <c r="D54" s="22" t="s">
        <v>1824</v>
      </c>
      <c r="E54" s="22" t="s">
        <v>1682</v>
      </c>
      <c r="F54" s="24" t="s">
        <v>1825</v>
      </c>
    </row>
    <row r="55" customFormat="false" ht="27.75" hidden="false" customHeight="true" outlineLevel="0" collapsed="false">
      <c r="A55" s="22" t="n">
        <v>51</v>
      </c>
      <c r="B55" s="22" t="s">
        <v>1826</v>
      </c>
      <c r="C55" s="22" t="s">
        <v>1827</v>
      </c>
      <c r="D55" s="22" t="s">
        <v>390</v>
      </c>
      <c r="E55" s="22" t="s">
        <v>1682</v>
      </c>
      <c r="F55" s="24" t="s">
        <v>1828</v>
      </c>
    </row>
    <row r="56" customFormat="false" ht="27.75" hidden="false" customHeight="true" outlineLevel="0" collapsed="false">
      <c r="A56" s="22" t="n">
        <v>52</v>
      </c>
      <c r="B56" s="22" t="s">
        <v>1826</v>
      </c>
      <c r="C56" s="22" t="s">
        <v>1829</v>
      </c>
      <c r="D56" s="22" t="s">
        <v>390</v>
      </c>
      <c r="E56" s="22" t="s">
        <v>1682</v>
      </c>
      <c r="F56" s="24" t="s">
        <v>1830</v>
      </c>
    </row>
    <row r="57" customFormat="false" ht="27.75" hidden="false" customHeight="true" outlineLevel="0" collapsed="false">
      <c r="A57" s="22" t="n">
        <v>53</v>
      </c>
      <c r="B57" s="22" t="s">
        <v>1826</v>
      </c>
      <c r="C57" s="22" t="s">
        <v>1831</v>
      </c>
      <c r="D57" s="22" t="s">
        <v>390</v>
      </c>
      <c r="E57" s="22" t="s">
        <v>1682</v>
      </c>
      <c r="F57" s="24" t="s">
        <v>1832</v>
      </c>
    </row>
    <row r="58" customFormat="false" ht="27.75" hidden="false" customHeight="true" outlineLevel="0" collapsed="false">
      <c r="A58" s="22" t="n">
        <v>54</v>
      </c>
      <c r="B58" s="22" t="s">
        <v>1826</v>
      </c>
      <c r="C58" s="22" t="s">
        <v>1833</v>
      </c>
      <c r="D58" s="22" t="s">
        <v>390</v>
      </c>
      <c r="E58" s="22" t="s">
        <v>1682</v>
      </c>
      <c r="F58" s="24" t="s">
        <v>1834</v>
      </c>
    </row>
    <row r="59" customFormat="false" ht="27.75" hidden="false" customHeight="true" outlineLevel="0" collapsed="false">
      <c r="A59" s="22" t="n">
        <v>55</v>
      </c>
      <c r="B59" s="22" t="s">
        <v>1835</v>
      </c>
      <c r="C59" s="22" t="s">
        <v>1836</v>
      </c>
      <c r="D59" s="22" t="s">
        <v>1718</v>
      </c>
      <c r="E59" s="22" t="s">
        <v>1682</v>
      </c>
      <c r="F59" s="24" t="s">
        <v>1837</v>
      </c>
    </row>
    <row r="60" customFormat="false" ht="27.75" hidden="false" customHeight="true" outlineLevel="0" collapsed="false">
      <c r="A60" s="22" t="n">
        <v>56</v>
      </c>
      <c r="B60" s="22" t="s">
        <v>1838</v>
      </c>
      <c r="C60" s="22" t="s">
        <v>1839</v>
      </c>
      <c r="D60" s="22" t="s">
        <v>1840</v>
      </c>
      <c r="E60" s="22" t="s">
        <v>1682</v>
      </c>
      <c r="F60" s="24" t="s">
        <v>1841</v>
      </c>
    </row>
    <row r="61" customFormat="false" ht="27.75" hidden="false" customHeight="true" outlineLevel="0" collapsed="false">
      <c r="A61" s="22" t="n">
        <v>57</v>
      </c>
      <c r="B61" s="22" t="s">
        <v>1842</v>
      </c>
      <c r="C61" s="22" t="s">
        <v>1843</v>
      </c>
      <c r="D61" s="22" t="s">
        <v>181</v>
      </c>
      <c r="E61" s="22" t="s">
        <v>1682</v>
      </c>
      <c r="F61" s="24" t="s">
        <v>1844</v>
      </c>
    </row>
    <row r="62" customFormat="false" ht="27.75" hidden="false" customHeight="true" outlineLevel="0" collapsed="false">
      <c r="A62" s="22" t="n">
        <v>58</v>
      </c>
      <c r="B62" s="22" t="s">
        <v>1842</v>
      </c>
      <c r="C62" s="22" t="s">
        <v>1845</v>
      </c>
      <c r="D62" s="22" t="s">
        <v>181</v>
      </c>
      <c r="E62" s="22" t="s">
        <v>1682</v>
      </c>
      <c r="F62" s="24" t="s">
        <v>1846</v>
      </c>
    </row>
    <row r="63" customFormat="false" ht="27.75" hidden="false" customHeight="true" outlineLevel="0" collapsed="false">
      <c r="A63" s="22" t="n">
        <v>59</v>
      </c>
      <c r="B63" s="22" t="s">
        <v>245</v>
      </c>
      <c r="C63" s="22" t="s">
        <v>1847</v>
      </c>
      <c r="D63" s="22" t="s">
        <v>1848</v>
      </c>
      <c r="E63" s="22" t="s">
        <v>1682</v>
      </c>
      <c r="F63" s="24" t="s">
        <v>1849</v>
      </c>
    </row>
    <row r="64" customFormat="false" ht="27.75" hidden="false" customHeight="true" outlineLevel="0" collapsed="false">
      <c r="A64" s="22" t="n">
        <v>60</v>
      </c>
      <c r="B64" s="22" t="s">
        <v>245</v>
      </c>
      <c r="C64" s="22" t="s">
        <v>1850</v>
      </c>
      <c r="D64" s="22" t="s">
        <v>587</v>
      </c>
      <c r="E64" s="22" t="s">
        <v>1682</v>
      </c>
      <c r="F64" s="24" t="s">
        <v>1851</v>
      </c>
    </row>
    <row r="65" customFormat="false" ht="27.75" hidden="false" customHeight="true" outlineLevel="0" collapsed="false">
      <c r="A65" s="22" t="n">
        <v>61</v>
      </c>
      <c r="B65" s="22" t="s">
        <v>245</v>
      </c>
      <c r="C65" s="22" t="s">
        <v>1852</v>
      </c>
      <c r="D65" s="22" t="s">
        <v>1853</v>
      </c>
      <c r="E65" s="22" t="s">
        <v>1682</v>
      </c>
      <c r="F65" s="24" t="s">
        <v>1854</v>
      </c>
    </row>
    <row r="66" customFormat="false" ht="27.75" hidden="false" customHeight="true" outlineLevel="0" collapsed="false">
      <c r="A66" s="22" t="n">
        <v>62</v>
      </c>
      <c r="B66" s="22" t="s">
        <v>245</v>
      </c>
      <c r="C66" s="22" t="s">
        <v>1855</v>
      </c>
      <c r="D66" s="22" t="s">
        <v>247</v>
      </c>
      <c r="E66" s="22" t="s">
        <v>1682</v>
      </c>
      <c r="F66" s="24" t="s">
        <v>1856</v>
      </c>
    </row>
    <row r="67" customFormat="false" ht="27.75" hidden="false" customHeight="true" outlineLevel="0" collapsed="false">
      <c r="A67" s="22" t="n">
        <v>63</v>
      </c>
      <c r="B67" s="22" t="s">
        <v>1857</v>
      </c>
      <c r="C67" s="22" t="s">
        <v>1858</v>
      </c>
      <c r="D67" s="22" t="s">
        <v>181</v>
      </c>
      <c r="E67" s="22" t="s">
        <v>1682</v>
      </c>
      <c r="F67" s="24" t="s">
        <v>1859</v>
      </c>
    </row>
    <row r="68" customFormat="false" ht="27.75" hidden="false" customHeight="true" outlineLevel="0" collapsed="false">
      <c r="A68" s="22" t="n">
        <v>64</v>
      </c>
      <c r="B68" s="22" t="s">
        <v>1036</v>
      </c>
      <c r="C68" s="22" t="s">
        <v>1860</v>
      </c>
      <c r="D68" s="22" t="s">
        <v>258</v>
      </c>
      <c r="E68" s="22" t="s">
        <v>1682</v>
      </c>
      <c r="F68" s="24" t="s">
        <v>1861</v>
      </c>
    </row>
    <row r="69" customFormat="false" ht="27.75" hidden="false" customHeight="true" outlineLevel="0" collapsed="false">
      <c r="A69" s="22" t="n">
        <v>65</v>
      </c>
      <c r="B69" s="22" t="s">
        <v>1036</v>
      </c>
      <c r="C69" s="22" t="s">
        <v>1862</v>
      </c>
      <c r="D69" s="22" t="s">
        <v>258</v>
      </c>
      <c r="E69" s="22" t="s">
        <v>1682</v>
      </c>
      <c r="F69" s="24" t="s">
        <v>1863</v>
      </c>
    </row>
    <row r="70" customFormat="false" ht="27.75" hidden="false" customHeight="true" outlineLevel="0" collapsed="false">
      <c r="A70" s="22" t="n">
        <v>66</v>
      </c>
      <c r="B70" s="22" t="s">
        <v>113</v>
      </c>
      <c r="C70" s="22" t="s">
        <v>1864</v>
      </c>
      <c r="D70" s="22" t="s">
        <v>115</v>
      </c>
      <c r="E70" s="22" t="s">
        <v>1682</v>
      </c>
      <c r="F70" s="24" t="s">
        <v>1865</v>
      </c>
    </row>
    <row r="71" customFormat="false" ht="27.75" hidden="false" customHeight="true" outlineLevel="0" collapsed="false">
      <c r="A71" s="22" t="n">
        <v>67</v>
      </c>
      <c r="B71" s="22" t="s">
        <v>113</v>
      </c>
      <c r="C71" s="22" t="s">
        <v>1866</v>
      </c>
      <c r="D71" s="22" t="s">
        <v>115</v>
      </c>
      <c r="E71" s="22" t="s">
        <v>1682</v>
      </c>
      <c r="F71" s="24" t="s">
        <v>1867</v>
      </c>
    </row>
    <row r="72" customFormat="false" ht="27.75" hidden="false" customHeight="true" outlineLevel="0" collapsed="false">
      <c r="A72" s="22" t="n">
        <v>68</v>
      </c>
      <c r="B72" s="22" t="s">
        <v>113</v>
      </c>
      <c r="C72" s="22" t="s">
        <v>1868</v>
      </c>
      <c r="D72" s="22" t="s">
        <v>115</v>
      </c>
      <c r="E72" s="22" t="s">
        <v>1682</v>
      </c>
      <c r="F72" s="24" t="s">
        <v>1869</v>
      </c>
    </row>
    <row r="73" customFormat="false" ht="27.75" hidden="false" customHeight="true" outlineLevel="0" collapsed="false">
      <c r="A73" s="22" t="n">
        <v>69</v>
      </c>
      <c r="B73" s="22" t="s">
        <v>113</v>
      </c>
      <c r="C73" s="22" t="s">
        <v>1870</v>
      </c>
      <c r="D73" s="22" t="s">
        <v>115</v>
      </c>
      <c r="E73" s="22" t="s">
        <v>1682</v>
      </c>
      <c r="F73" s="24" t="s">
        <v>1871</v>
      </c>
    </row>
    <row r="74" customFormat="false" ht="27.75" hidden="false" customHeight="true" outlineLevel="0" collapsed="false">
      <c r="A74" s="22" t="n">
        <v>70</v>
      </c>
      <c r="B74" s="22" t="s">
        <v>113</v>
      </c>
      <c r="C74" s="22" t="s">
        <v>1872</v>
      </c>
      <c r="D74" s="22" t="s">
        <v>115</v>
      </c>
      <c r="E74" s="22" t="s">
        <v>1682</v>
      </c>
      <c r="F74" s="24" t="s">
        <v>1873</v>
      </c>
    </row>
    <row r="75" customFormat="false" ht="27.75" hidden="false" customHeight="true" outlineLevel="0" collapsed="false">
      <c r="A75" s="22" t="n">
        <v>71</v>
      </c>
      <c r="B75" s="22" t="s">
        <v>113</v>
      </c>
      <c r="C75" s="22" t="s">
        <v>1874</v>
      </c>
      <c r="D75" s="22" t="s">
        <v>115</v>
      </c>
      <c r="E75" s="22" t="s">
        <v>1682</v>
      </c>
      <c r="F75" s="24" t="s">
        <v>1875</v>
      </c>
    </row>
    <row r="76" customFormat="false" ht="27.75" hidden="false" customHeight="true" outlineLevel="0" collapsed="false">
      <c r="A76" s="22" t="n">
        <v>72</v>
      </c>
      <c r="B76" s="22" t="s">
        <v>113</v>
      </c>
      <c r="C76" s="22" t="s">
        <v>1876</v>
      </c>
      <c r="D76" s="22" t="s">
        <v>181</v>
      </c>
      <c r="E76" s="22" t="s">
        <v>1682</v>
      </c>
      <c r="F76" s="24" t="s">
        <v>1877</v>
      </c>
    </row>
    <row r="77" customFormat="false" ht="27.75" hidden="false" customHeight="true" outlineLevel="0" collapsed="false">
      <c r="A77" s="22" t="n">
        <v>73</v>
      </c>
      <c r="B77" s="22" t="s">
        <v>369</v>
      </c>
      <c r="C77" s="22" t="s">
        <v>1878</v>
      </c>
      <c r="D77" s="22" t="s">
        <v>371</v>
      </c>
      <c r="E77" s="22" t="s">
        <v>1682</v>
      </c>
      <c r="F77" s="24" t="s">
        <v>1879</v>
      </c>
    </row>
    <row r="78" customFormat="false" ht="27.75" hidden="false" customHeight="true" outlineLevel="0" collapsed="false">
      <c r="A78" s="22" t="n">
        <v>74</v>
      </c>
      <c r="B78" s="22" t="s">
        <v>132</v>
      </c>
      <c r="C78" s="22" t="s">
        <v>1880</v>
      </c>
      <c r="D78" s="22" t="s">
        <v>1881</v>
      </c>
      <c r="E78" s="22" t="s">
        <v>1682</v>
      </c>
      <c r="F78" s="24" t="s">
        <v>1882</v>
      </c>
    </row>
    <row r="79" customFormat="false" ht="27.75" hidden="false" customHeight="true" outlineLevel="0" collapsed="false">
      <c r="A79" s="22" t="n">
        <v>75</v>
      </c>
      <c r="B79" s="22" t="s">
        <v>132</v>
      </c>
      <c r="C79" s="22" t="s">
        <v>1883</v>
      </c>
      <c r="D79" s="22" t="s">
        <v>134</v>
      </c>
      <c r="E79" s="22" t="s">
        <v>1682</v>
      </c>
      <c r="F79" s="24" t="s">
        <v>1884</v>
      </c>
    </row>
    <row r="80" customFormat="false" ht="27.75" hidden="false" customHeight="true" outlineLevel="0" collapsed="false">
      <c r="A80" s="22" t="n">
        <v>76</v>
      </c>
      <c r="B80" s="22" t="s">
        <v>984</v>
      </c>
      <c r="C80" s="22" t="s">
        <v>1885</v>
      </c>
      <c r="D80" s="22" t="s">
        <v>181</v>
      </c>
      <c r="E80" s="22" t="s">
        <v>1682</v>
      </c>
      <c r="F80" s="24" t="s">
        <v>1886</v>
      </c>
    </row>
    <row r="81" customFormat="false" ht="27.75" hidden="false" customHeight="true" outlineLevel="0" collapsed="false">
      <c r="A81" s="22" t="n">
        <v>77</v>
      </c>
      <c r="B81" s="22" t="s">
        <v>346</v>
      </c>
      <c r="C81" s="22" t="s">
        <v>1887</v>
      </c>
      <c r="D81" s="22" t="s">
        <v>416</v>
      </c>
      <c r="E81" s="22" t="s">
        <v>1682</v>
      </c>
      <c r="F81" s="24" t="s">
        <v>1888</v>
      </c>
    </row>
    <row r="82" customFormat="false" ht="27.75" hidden="false" customHeight="true" outlineLevel="0" collapsed="false">
      <c r="A82" s="22" t="n">
        <v>78</v>
      </c>
      <c r="B82" s="22" t="s">
        <v>346</v>
      </c>
      <c r="C82" s="22" t="s">
        <v>1889</v>
      </c>
      <c r="D82" s="22" t="s">
        <v>1890</v>
      </c>
      <c r="E82" s="22" t="s">
        <v>1682</v>
      </c>
      <c r="F82" s="24" t="s">
        <v>1891</v>
      </c>
    </row>
    <row r="83" customFormat="false" ht="27.75" hidden="false" customHeight="true" outlineLevel="0" collapsed="false">
      <c r="A83" s="22" t="n">
        <v>79</v>
      </c>
      <c r="B83" s="22" t="s">
        <v>346</v>
      </c>
      <c r="C83" s="22" t="s">
        <v>1892</v>
      </c>
      <c r="D83" s="22" t="s">
        <v>416</v>
      </c>
      <c r="E83" s="22" t="s">
        <v>1682</v>
      </c>
      <c r="F83" s="24" t="s">
        <v>1893</v>
      </c>
    </row>
    <row r="84" customFormat="false" ht="27.75" hidden="false" customHeight="true" outlineLevel="0" collapsed="false">
      <c r="A84" s="22" t="n">
        <v>80</v>
      </c>
      <c r="B84" s="22" t="s">
        <v>346</v>
      </c>
      <c r="C84" s="22" t="s">
        <v>1894</v>
      </c>
      <c r="D84" s="22" t="s">
        <v>416</v>
      </c>
      <c r="E84" s="22" t="s">
        <v>1682</v>
      </c>
      <c r="F84" s="24" t="s">
        <v>1895</v>
      </c>
    </row>
    <row r="85" customFormat="false" ht="27.75" hidden="false" customHeight="true" outlineLevel="0" collapsed="false">
      <c r="A85" s="22" t="n">
        <v>81</v>
      </c>
      <c r="B85" s="22" t="s">
        <v>1896</v>
      </c>
      <c r="C85" s="22" t="s">
        <v>1897</v>
      </c>
      <c r="D85" s="22" t="s">
        <v>181</v>
      </c>
      <c r="E85" s="22" t="s">
        <v>1682</v>
      </c>
      <c r="F85" s="24" t="s">
        <v>1898</v>
      </c>
    </row>
    <row r="86" customFormat="false" ht="27.75" hidden="false" customHeight="true" outlineLevel="0" collapsed="false">
      <c r="A86" s="22" t="n">
        <v>82</v>
      </c>
      <c r="B86" s="22" t="s">
        <v>689</v>
      </c>
      <c r="C86" s="22" t="s">
        <v>1899</v>
      </c>
      <c r="D86" s="22" t="s">
        <v>390</v>
      </c>
      <c r="E86" s="22" t="s">
        <v>1682</v>
      </c>
      <c r="F86" s="24" t="s">
        <v>1900</v>
      </c>
    </row>
    <row r="87" customFormat="false" ht="27.75" hidden="false" customHeight="true" outlineLevel="0" collapsed="false">
      <c r="A87" s="22" t="n">
        <v>83</v>
      </c>
      <c r="B87" s="22" t="s">
        <v>1901</v>
      </c>
      <c r="C87" s="22" t="s">
        <v>1902</v>
      </c>
      <c r="D87" s="22" t="s">
        <v>1903</v>
      </c>
      <c r="E87" s="22" t="s">
        <v>1682</v>
      </c>
      <c r="F87" s="24" t="s">
        <v>1904</v>
      </c>
    </row>
    <row r="88" customFormat="false" ht="27.75" hidden="false" customHeight="true" outlineLevel="0" collapsed="false">
      <c r="A88" s="22" t="n">
        <v>84</v>
      </c>
      <c r="B88" s="22" t="s">
        <v>1905</v>
      </c>
      <c r="C88" s="22" t="s">
        <v>1906</v>
      </c>
      <c r="D88" s="22" t="s">
        <v>181</v>
      </c>
      <c r="E88" s="22" t="s">
        <v>1682</v>
      </c>
      <c r="F88" s="24" t="s">
        <v>1907</v>
      </c>
    </row>
    <row r="89" customFormat="false" ht="27.75" hidden="false" customHeight="true" outlineLevel="0" collapsed="false">
      <c r="A89" s="22" t="n">
        <v>85</v>
      </c>
      <c r="B89" s="22" t="s">
        <v>1908</v>
      </c>
      <c r="C89" s="22" t="s">
        <v>1909</v>
      </c>
      <c r="D89" s="22" t="s">
        <v>181</v>
      </c>
      <c r="E89" s="22" t="s">
        <v>1682</v>
      </c>
      <c r="F89" s="24" t="s">
        <v>1910</v>
      </c>
    </row>
    <row r="90" customFormat="false" ht="27.75" hidden="false" customHeight="true" outlineLevel="0" collapsed="false">
      <c r="A90" s="22" t="n">
        <v>86</v>
      </c>
      <c r="B90" s="22" t="s">
        <v>860</v>
      </c>
      <c r="C90" s="22" t="s">
        <v>1911</v>
      </c>
      <c r="D90" s="22" t="s">
        <v>297</v>
      </c>
      <c r="E90" s="22" t="s">
        <v>1682</v>
      </c>
      <c r="F90" s="24" t="s">
        <v>1912</v>
      </c>
    </row>
    <row r="91" customFormat="false" ht="27.75" hidden="false" customHeight="true" outlineLevel="0" collapsed="false">
      <c r="A91" s="22" t="n">
        <v>87</v>
      </c>
      <c r="B91" s="22" t="s">
        <v>993</v>
      </c>
      <c r="C91" s="22" t="s">
        <v>1913</v>
      </c>
      <c r="D91" s="22" t="s">
        <v>181</v>
      </c>
      <c r="E91" s="22" t="s">
        <v>1682</v>
      </c>
      <c r="F91" s="24" t="s">
        <v>1914</v>
      </c>
    </row>
    <row r="92" customFormat="false" ht="27.75" hidden="false" customHeight="true" outlineLevel="0" collapsed="false">
      <c r="A92" s="22" t="n">
        <v>88</v>
      </c>
      <c r="B92" s="22" t="s">
        <v>1915</v>
      </c>
      <c r="C92" s="22" t="s">
        <v>1916</v>
      </c>
      <c r="D92" s="22" t="s">
        <v>390</v>
      </c>
      <c r="E92" s="22" t="s">
        <v>1682</v>
      </c>
      <c r="F92" s="24" t="s">
        <v>1917</v>
      </c>
    </row>
    <row r="93" customFormat="false" ht="27.75" hidden="false" customHeight="true" outlineLevel="0" collapsed="false">
      <c r="A93" s="22" t="n">
        <v>89</v>
      </c>
      <c r="B93" s="22" t="s">
        <v>1918</v>
      </c>
      <c r="C93" s="22" t="s">
        <v>1919</v>
      </c>
      <c r="D93" s="22" t="s">
        <v>1920</v>
      </c>
      <c r="E93" s="22" t="s">
        <v>1682</v>
      </c>
      <c r="F93" s="24" t="s">
        <v>1921</v>
      </c>
    </row>
    <row r="94" customFormat="false" ht="27.75" hidden="false" customHeight="true" outlineLevel="0" collapsed="false">
      <c r="A94" s="22" t="n">
        <v>90</v>
      </c>
      <c r="B94" s="22" t="s">
        <v>430</v>
      </c>
      <c r="C94" s="22" t="s">
        <v>1922</v>
      </c>
      <c r="D94" s="22" t="s">
        <v>258</v>
      </c>
      <c r="E94" s="22" t="s">
        <v>1682</v>
      </c>
      <c r="F94" s="24" t="s">
        <v>1923</v>
      </c>
    </row>
    <row r="95" customFormat="false" ht="27.75" hidden="false" customHeight="true" outlineLevel="0" collapsed="false">
      <c r="A95" s="22" t="n">
        <v>91</v>
      </c>
      <c r="B95" s="22" t="s">
        <v>1924</v>
      </c>
      <c r="C95" s="22" t="s">
        <v>1925</v>
      </c>
      <c r="D95" s="22" t="s">
        <v>258</v>
      </c>
      <c r="E95" s="22" t="s">
        <v>1682</v>
      </c>
      <c r="F95" s="24" t="s">
        <v>1926</v>
      </c>
    </row>
    <row r="96" customFormat="false" ht="27.75" hidden="false" customHeight="true" outlineLevel="0" collapsed="false">
      <c r="A96" s="22" t="n">
        <v>92</v>
      </c>
      <c r="B96" s="22" t="s">
        <v>1927</v>
      </c>
      <c r="C96" s="22" t="s">
        <v>1928</v>
      </c>
      <c r="D96" s="22" t="s">
        <v>1929</v>
      </c>
      <c r="E96" s="22" t="s">
        <v>1682</v>
      </c>
      <c r="F96" s="24" t="s">
        <v>1930</v>
      </c>
    </row>
    <row r="97" customFormat="false" ht="27.75" hidden="false" customHeight="true" outlineLevel="0" collapsed="false">
      <c r="A97" s="22" t="n">
        <v>93</v>
      </c>
      <c r="B97" s="22" t="s">
        <v>959</v>
      </c>
      <c r="C97" s="22" t="s">
        <v>1060</v>
      </c>
      <c r="D97" s="22" t="s">
        <v>1931</v>
      </c>
      <c r="E97" s="22" t="s">
        <v>1682</v>
      </c>
      <c r="F97" s="24" t="s">
        <v>1932</v>
      </c>
    </row>
    <row r="98" customFormat="false" ht="27.75" hidden="false" customHeight="true" outlineLevel="0" collapsed="false">
      <c r="A98" s="22" t="n">
        <v>94</v>
      </c>
      <c r="B98" s="22" t="s">
        <v>1933</v>
      </c>
      <c r="C98" s="22" t="s">
        <v>1934</v>
      </c>
      <c r="D98" s="22" t="s">
        <v>181</v>
      </c>
      <c r="E98" s="22" t="s">
        <v>1682</v>
      </c>
      <c r="F98" s="24" t="s">
        <v>1935</v>
      </c>
    </row>
    <row r="99" customFormat="false" ht="27.75" hidden="false" customHeight="true" outlineLevel="0" collapsed="false">
      <c r="A99" s="22" t="n">
        <v>95</v>
      </c>
      <c r="B99" s="22" t="s">
        <v>1936</v>
      </c>
      <c r="C99" s="22" t="s">
        <v>1937</v>
      </c>
      <c r="D99" s="22" t="s">
        <v>1938</v>
      </c>
      <c r="E99" s="22" t="s">
        <v>1682</v>
      </c>
      <c r="F99" s="24" t="s">
        <v>1939</v>
      </c>
    </row>
    <row r="100" customFormat="false" ht="27.75" hidden="false" customHeight="true" outlineLevel="0" collapsed="false">
      <c r="A100" s="22" t="n">
        <v>96</v>
      </c>
      <c r="B100" s="22" t="s">
        <v>1940</v>
      </c>
      <c r="C100" s="22" t="s">
        <v>1941</v>
      </c>
      <c r="D100" s="22" t="s">
        <v>1942</v>
      </c>
      <c r="E100" s="22" t="s">
        <v>1682</v>
      </c>
      <c r="F100" s="24" t="s">
        <v>1943</v>
      </c>
    </row>
    <row r="101" customFormat="false" ht="27.75" hidden="false" customHeight="true" outlineLevel="0" collapsed="false">
      <c r="A101" s="22" t="n">
        <v>97</v>
      </c>
      <c r="B101" s="22" t="s">
        <v>1146</v>
      </c>
      <c r="C101" s="22" t="s">
        <v>1944</v>
      </c>
      <c r="D101" s="22" t="s">
        <v>1148</v>
      </c>
      <c r="E101" s="22" t="s">
        <v>1682</v>
      </c>
      <c r="F101" s="24" t="s">
        <v>1945</v>
      </c>
    </row>
    <row r="102" customFormat="false" ht="27.75" hidden="false" customHeight="true" outlineLevel="0" collapsed="false">
      <c r="A102" s="22" t="n">
        <v>98</v>
      </c>
      <c r="B102" s="22" t="s">
        <v>1946</v>
      </c>
      <c r="C102" s="22" t="s">
        <v>1947</v>
      </c>
      <c r="D102" s="22" t="s">
        <v>1740</v>
      </c>
      <c r="E102" s="22" t="s">
        <v>1682</v>
      </c>
      <c r="F102" s="24" t="s">
        <v>1948</v>
      </c>
    </row>
    <row r="103" customFormat="false" ht="27.75" hidden="false" customHeight="true" outlineLevel="0" collapsed="false">
      <c r="A103" s="22" t="n">
        <v>99</v>
      </c>
      <c r="B103" s="22" t="s">
        <v>1949</v>
      </c>
      <c r="C103" s="22" t="s">
        <v>1950</v>
      </c>
      <c r="D103" s="22" t="s">
        <v>439</v>
      </c>
      <c r="E103" s="22" t="s">
        <v>1682</v>
      </c>
      <c r="F103" s="24" t="s">
        <v>1951</v>
      </c>
    </row>
    <row r="104" customFormat="false" ht="27.75" hidden="false" customHeight="true" outlineLevel="0" collapsed="false">
      <c r="A104" s="22" t="n">
        <v>100</v>
      </c>
      <c r="B104" s="22" t="s">
        <v>1952</v>
      </c>
      <c r="C104" s="22" t="s">
        <v>1953</v>
      </c>
      <c r="D104" s="22" t="s">
        <v>181</v>
      </c>
      <c r="E104" s="22" t="s">
        <v>1682</v>
      </c>
      <c r="F104" s="24" t="s">
        <v>1954</v>
      </c>
    </row>
    <row r="105" customFormat="false" ht="27.75" hidden="false" customHeight="true" outlineLevel="0" collapsed="false">
      <c r="A105" s="22" t="n">
        <v>101</v>
      </c>
      <c r="B105" s="22" t="s">
        <v>207</v>
      </c>
      <c r="C105" s="22" t="s">
        <v>1955</v>
      </c>
      <c r="D105" s="22" t="s">
        <v>1740</v>
      </c>
      <c r="E105" s="22" t="s">
        <v>1682</v>
      </c>
      <c r="F105" s="24" t="s">
        <v>1956</v>
      </c>
    </row>
    <row r="106" customFormat="false" ht="27.75" hidden="false" customHeight="true" outlineLevel="0" collapsed="false">
      <c r="A106" s="22" t="n">
        <v>102</v>
      </c>
      <c r="B106" s="22" t="s">
        <v>207</v>
      </c>
      <c r="C106" s="22" t="s">
        <v>1957</v>
      </c>
      <c r="D106" s="22" t="s">
        <v>297</v>
      </c>
      <c r="E106" s="22" t="s">
        <v>1682</v>
      </c>
      <c r="F106" s="24" t="s">
        <v>1958</v>
      </c>
    </row>
    <row r="107" customFormat="false" ht="27.75" hidden="false" customHeight="true" outlineLevel="0" collapsed="false">
      <c r="A107" s="22" t="n">
        <v>103</v>
      </c>
      <c r="B107" s="22" t="s">
        <v>1959</v>
      </c>
      <c r="C107" s="22" t="s">
        <v>1960</v>
      </c>
      <c r="D107" s="22" t="s">
        <v>1961</v>
      </c>
      <c r="E107" s="22" t="s">
        <v>1682</v>
      </c>
      <c r="F107" s="24" t="s">
        <v>1962</v>
      </c>
    </row>
    <row r="108" customFormat="false" ht="27.75" hidden="false" customHeight="true" outlineLevel="0" collapsed="false">
      <c r="A108" s="22" t="n">
        <v>104</v>
      </c>
      <c r="B108" s="22" t="s">
        <v>536</v>
      </c>
      <c r="C108" s="22" t="s">
        <v>1963</v>
      </c>
      <c r="D108" s="22" t="s">
        <v>390</v>
      </c>
      <c r="E108" s="22" t="s">
        <v>1682</v>
      </c>
      <c r="F108" s="24" t="s">
        <v>1964</v>
      </c>
    </row>
    <row r="109" customFormat="false" ht="27.75" hidden="false" customHeight="true" outlineLevel="0" collapsed="false">
      <c r="A109" s="22" t="n">
        <v>105</v>
      </c>
      <c r="B109" s="22" t="s">
        <v>1965</v>
      </c>
      <c r="C109" s="22" t="s">
        <v>1966</v>
      </c>
      <c r="D109" s="22" t="s">
        <v>390</v>
      </c>
      <c r="E109" s="22" t="s">
        <v>1682</v>
      </c>
      <c r="F109" s="24" t="s">
        <v>1967</v>
      </c>
    </row>
    <row r="110" customFormat="false" ht="27.75" hidden="false" customHeight="true" outlineLevel="0" collapsed="false">
      <c r="A110" s="22" t="n">
        <v>106</v>
      </c>
      <c r="B110" s="22" t="s">
        <v>1968</v>
      </c>
      <c r="C110" s="22" t="s">
        <v>1969</v>
      </c>
      <c r="D110" s="22" t="s">
        <v>1970</v>
      </c>
      <c r="E110" s="22" t="s">
        <v>1971</v>
      </c>
      <c r="F110" s="24" t="s">
        <v>1972</v>
      </c>
    </row>
    <row r="111" customFormat="false" ht="27.75" hidden="false" customHeight="true" outlineLevel="0" collapsed="false">
      <c r="A111" s="22" t="n">
        <v>107</v>
      </c>
      <c r="B111" s="22" t="s">
        <v>1973</v>
      </c>
      <c r="C111" s="22" t="s">
        <v>1974</v>
      </c>
      <c r="D111" s="22" t="s">
        <v>1975</v>
      </c>
      <c r="E111" s="22" t="s">
        <v>1976</v>
      </c>
      <c r="F111" s="24" t="s">
        <v>1977</v>
      </c>
    </row>
    <row r="112" customFormat="false" ht="27.75" hidden="false" customHeight="true" outlineLevel="0" collapsed="false">
      <c r="A112" s="22" t="n">
        <v>108</v>
      </c>
      <c r="B112" s="22" t="s">
        <v>1978</v>
      </c>
      <c r="C112" s="22" t="s">
        <v>640</v>
      </c>
      <c r="D112" s="22" t="s">
        <v>1979</v>
      </c>
      <c r="E112" s="22" t="s">
        <v>1980</v>
      </c>
      <c r="F112" s="24" t="s">
        <v>1981</v>
      </c>
    </row>
    <row r="113" customFormat="false" ht="27.75" hidden="false" customHeight="true" outlineLevel="0" collapsed="false">
      <c r="A113" s="22" t="n">
        <v>109</v>
      </c>
      <c r="B113" s="22" t="s">
        <v>1982</v>
      </c>
      <c r="C113" s="22" t="s">
        <v>1983</v>
      </c>
      <c r="D113" s="22" t="s">
        <v>1767</v>
      </c>
      <c r="E113" s="22" t="s">
        <v>1984</v>
      </c>
      <c r="F113" s="24" t="s">
        <v>1985</v>
      </c>
    </row>
    <row r="114" customFormat="false" ht="27.75" hidden="false" customHeight="true" outlineLevel="0" collapsed="false">
      <c r="A114" s="22" t="n">
        <v>110</v>
      </c>
      <c r="B114" s="22" t="s">
        <v>1986</v>
      </c>
      <c r="C114" s="22" t="s">
        <v>832</v>
      </c>
      <c r="D114" s="22" t="s">
        <v>1767</v>
      </c>
      <c r="E114" s="22" t="s">
        <v>1984</v>
      </c>
      <c r="F114" s="24" t="s">
        <v>1987</v>
      </c>
    </row>
    <row r="115" customFormat="false" ht="27.75" hidden="false" customHeight="true" outlineLevel="0" collapsed="false">
      <c r="A115" s="22" t="n">
        <v>111</v>
      </c>
      <c r="B115" s="22" t="s">
        <v>388</v>
      </c>
      <c r="C115" s="22" t="s">
        <v>1988</v>
      </c>
      <c r="D115" s="22" t="s">
        <v>1989</v>
      </c>
      <c r="E115" s="22" t="s">
        <v>1990</v>
      </c>
      <c r="F115" s="24" t="s">
        <v>1991</v>
      </c>
    </row>
    <row r="116" customFormat="false" ht="27.75" hidden="false" customHeight="true" outlineLevel="0" collapsed="false">
      <c r="A116" s="22" t="n">
        <v>112</v>
      </c>
      <c r="B116" s="22" t="s">
        <v>388</v>
      </c>
      <c r="C116" s="22" t="s">
        <v>1992</v>
      </c>
      <c r="D116" s="22" t="s">
        <v>1989</v>
      </c>
      <c r="E116" s="22" t="s">
        <v>1990</v>
      </c>
      <c r="F116" s="24" t="s">
        <v>1993</v>
      </c>
    </row>
    <row r="117" customFormat="false" ht="27.75" hidden="false" customHeight="true" outlineLevel="0" collapsed="false">
      <c r="A117" s="22" t="n">
        <v>113</v>
      </c>
      <c r="B117" s="22" t="s">
        <v>284</v>
      </c>
      <c r="C117" s="22" t="s">
        <v>1994</v>
      </c>
      <c r="D117" s="22" t="s">
        <v>1995</v>
      </c>
      <c r="E117" s="22" t="s">
        <v>1996</v>
      </c>
      <c r="F117" s="24" t="s">
        <v>1997</v>
      </c>
    </row>
    <row r="118" customFormat="false" ht="27.75" hidden="false" customHeight="true" outlineLevel="0" collapsed="false">
      <c r="A118" s="22" t="n">
        <v>114</v>
      </c>
      <c r="B118" s="22" t="s">
        <v>1978</v>
      </c>
      <c r="C118" s="22" t="s">
        <v>1998</v>
      </c>
      <c r="D118" s="22" t="s">
        <v>1999</v>
      </c>
      <c r="E118" s="22" t="s">
        <v>2000</v>
      </c>
      <c r="F118" s="24" t="s">
        <v>2001</v>
      </c>
    </row>
  </sheetData>
  <autoFilter ref="A4:F118"/>
  <hyperlinks>
    <hyperlink ref="F5" r:id="rId1" display="https://www.linkedin.com/jobs/view/4437084635"/>
    <hyperlink ref="F6" r:id="rId2" display="https://www.karriere.at/jobs/7874020"/>
    <hyperlink ref="F7" r:id="rId3" display="https://www.karriere.at/jobs/7875784"/>
    <hyperlink ref="F8" r:id="rId4" display="https://www.karriere.at/jobs/7822022"/>
    <hyperlink ref="F9" r:id="rId5" display="https://www.linkedin.com/jobs/view/4466325016"/>
    <hyperlink ref="F10" r:id="rId6" display="https://www.linkedin.com/jobs/view/4444703590"/>
    <hyperlink ref="F11" r:id="rId7" display="https://www.karriere.at/jobs/10029755"/>
    <hyperlink ref="F12" r:id="rId8" display="https://www.karriere.at/jobs/7856702"/>
    <hyperlink ref="F13" r:id="rId9" display="https://www.karriere.at/jobs/7860949"/>
    <hyperlink ref="F14" r:id="rId10" display="https://www.karriere.at/jobs/7880563"/>
    <hyperlink ref="F15" r:id="rId11" display="https://www.karriere.at/jobs/7876831"/>
    <hyperlink ref="F16" r:id="rId12" display="https://www.linkedin.com/jobs/view/4455855392"/>
    <hyperlink ref="F17" r:id="rId13" display="https://www.linkedin.com/jobs/view/4450088259"/>
    <hyperlink ref="F18" r:id="rId14" display="https://www.karriere.at/jobs/10031230"/>
    <hyperlink ref="F19" r:id="rId15" display="https://www.karriere.at/jobs/7869433"/>
    <hyperlink ref="F20" r:id="rId16" display="https://www.karriere.at/jobs/7869436"/>
    <hyperlink ref="F21" r:id="rId17" display="https://www.karriere.at/jobs/7878877"/>
    <hyperlink ref="F22" r:id="rId18" display="https://www.karriere.at/jobs/10030341"/>
    <hyperlink ref="F23" r:id="rId19" display="https://www.linkedin.com/jobs/view/4465125774"/>
    <hyperlink ref="F24" r:id="rId20" display="https://www.karriere.at/jobs/7872928"/>
    <hyperlink ref="F25" r:id="rId21" display="https://www.karriere.at/jobs/7872931"/>
    <hyperlink ref="F26" r:id="rId22" display="https://www.karriere.at/jobs/7872925"/>
    <hyperlink ref="F27" r:id="rId23" display="https://www.linkedin.com/jobs/view/4463472437"/>
    <hyperlink ref="F28" r:id="rId24" display="https://www.karriere.at/jobs/10031055"/>
    <hyperlink ref="F29" r:id="rId25" display="https://www.karriere.at/jobs/10029112"/>
    <hyperlink ref="F30" r:id="rId26" display="https://www.karriere.at/jobs/7821854"/>
    <hyperlink ref="F31" r:id="rId27" display="https://www.karriere.at/jobs/7875937"/>
    <hyperlink ref="F32" r:id="rId28" display="https://www.linkedin.com/jobs/view/4461166223"/>
    <hyperlink ref="F33" r:id="rId29" display="https://www.karriere.at/jobs/7873969"/>
    <hyperlink ref="F34" r:id="rId30" display="https://www.linkedin.com/jobs/view/4089986109"/>
    <hyperlink ref="F35" r:id="rId31" display="https://www.linkedin.com/jobs/view/4462836961"/>
    <hyperlink ref="F36" r:id="rId32" display="https://www.karriere.at/jobs/7868944"/>
    <hyperlink ref="F37" r:id="rId33" display="https://www.karriere.at/jobs/7857248"/>
    <hyperlink ref="F38" r:id="rId34" display="https://www.linkedin.com/jobs/view/4428102319"/>
    <hyperlink ref="F39" r:id="rId35" display="https://www.karriere.at/jobs/7879915"/>
    <hyperlink ref="F40" r:id="rId36" display="https://www.karriere.at/jobs/7855409"/>
    <hyperlink ref="F41" r:id="rId37" display="https://www.karriere.at/jobs/7878637"/>
    <hyperlink ref="F42" r:id="rId38" display="https://www.linkedin.com/jobs/view/4470922970"/>
    <hyperlink ref="F43" r:id="rId39" display="https://www.linkedin.com/jobs/view/4461598939"/>
    <hyperlink ref="F44" r:id="rId40" display="https://www.linkedin.com/jobs/view/4470900390"/>
    <hyperlink ref="F45" r:id="rId41" display="https://www.linkedin.com/jobs/view/4438324503"/>
    <hyperlink ref="F46" r:id="rId42" display="https://www.linkedin.com/jobs/view/4466848309"/>
    <hyperlink ref="F47" r:id="rId43" display="https://www.linkedin.com/jobs/view/4458642524"/>
    <hyperlink ref="F48" r:id="rId44" display="https://www.linkedin.com/jobs/view/4466851271"/>
    <hyperlink ref="F49" r:id="rId45" display="https://www.linkedin.com/jobs/view/4468681036"/>
    <hyperlink ref="F50" r:id="rId46" display="https://www.karriere.at/jobs/10028647"/>
    <hyperlink ref="F51" r:id="rId47" display="https://www.karriere.at/jobs/10028648"/>
    <hyperlink ref="F52" r:id="rId48" display="https://www.karriere.at/jobs/10028646"/>
    <hyperlink ref="F53" r:id="rId49" display="https://www.karriere.at/jobs/10032745"/>
    <hyperlink ref="F54" r:id="rId50" display="https://www.linkedin.com/jobs/view/4464105063"/>
    <hyperlink ref="F55" r:id="rId51" display="https://www.karriere.at/jobs/7873933"/>
    <hyperlink ref="F56" r:id="rId52" display="https://www.karriere.at/jobs/7853966"/>
    <hyperlink ref="F57" r:id="rId53" display="https://www.karriere.at/jobs/7854044"/>
    <hyperlink ref="F58" r:id="rId54" display="https://www.karriere.at/jobs/7853978"/>
    <hyperlink ref="F59" r:id="rId55" display="https://www.linkedin.com/jobs/view/4456934056"/>
    <hyperlink ref="F60" r:id="rId56" display="https://www.karriere.at/jobs/7857041"/>
    <hyperlink ref="F61" r:id="rId57" display="https://www.linkedin.com/jobs/view/4405982009"/>
    <hyperlink ref="F62" r:id="rId58" display="https://www.linkedin.com/jobs/view/4405971076"/>
    <hyperlink ref="F63" r:id="rId59" display="https://www.karriere.at/jobs/7871008"/>
    <hyperlink ref="F64" r:id="rId60" display="https://www.karriere.at/jobs/7869586"/>
    <hyperlink ref="F65" r:id="rId61" display="https://www.karriere.at/jobs/7865329"/>
    <hyperlink ref="F66" r:id="rId62" display="https://www.linkedin.com/jobs/view/4448955908"/>
    <hyperlink ref="F67" r:id="rId63" display="https://www.linkedin.com/jobs/view/4471604803"/>
    <hyperlink ref="F68" r:id="rId64" display="https://www.linkedin.com/jobs/view/4445986761"/>
    <hyperlink ref="F69" r:id="rId65" display="https://www.linkedin.com/jobs/view/4468680535"/>
    <hyperlink ref="F70" r:id="rId66" display="https://www.karriere.at/jobs/7874794"/>
    <hyperlink ref="F71" r:id="rId67" display="https://www.karriere.at/jobs/7813721"/>
    <hyperlink ref="F72" r:id="rId68" display="https://www.karriere.at/jobs/7804451"/>
    <hyperlink ref="F73" r:id="rId69" display="https://www.karriere.at/jobs/7876204"/>
    <hyperlink ref="F74" r:id="rId70" display="https://www.karriere.at/jobs/7850174"/>
    <hyperlink ref="F75" r:id="rId71" display="https://www.karriere.at/jobs/7837415"/>
    <hyperlink ref="F76" r:id="rId72" display="https://www.linkedin.com/jobs/view/4420916639"/>
    <hyperlink ref="F77" r:id="rId73" display="https://www.karriere.at/jobs/7858523"/>
    <hyperlink ref="F78" r:id="rId74" display="https://www.karriere.at/jobs/7862350"/>
    <hyperlink ref="F79" r:id="rId75" display="https://www.karriere.at/jobs/7863679"/>
    <hyperlink ref="F80" r:id="rId76" display="https://www.linkedin.com/jobs/view/4454701840"/>
    <hyperlink ref="F81" r:id="rId77" display="https://www.karriere.at/jobs/7873108"/>
    <hyperlink ref="F82" r:id="rId78" display="https://www.karriere.at/jobs/7860679"/>
    <hyperlink ref="F83" r:id="rId79" display="https://www.karriere.at/jobs/7879144"/>
    <hyperlink ref="F84" r:id="rId80" display="https://www.karriere.at/jobs/7879126"/>
    <hyperlink ref="F85" r:id="rId81" display="https://www.linkedin.com/jobs/view/4454790732"/>
    <hyperlink ref="F86" r:id="rId82" display="https://www.karriere.at/jobs/7805750"/>
    <hyperlink ref="F87" r:id="rId83" display="https://www.linkedin.com/jobs/view/4461151517"/>
    <hyperlink ref="F88" r:id="rId84" display="https://www.linkedin.com/jobs/view/4460928679"/>
    <hyperlink ref="F89" r:id="rId85" display="https://www.linkedin.com/jobs/view/4441192157"/>
    <hyperlink ref="F90" r:id="rId86" display="https://www.karriere.at/jobs/10033802"/>
    <hyperlink ref="F91" r:id="rId87" display="https://www.linkedin.com/jobs/view/4469451479"/>
    <hyperlink ref="F92" r:id="rId88" display="https://www.karriere.at/jobs/7839035"/>
    <hyperlink ref="F93" r:id="rId89" display="https://www.karriere.at/jobs/10029867"/>
    <hyperlink ref="F94" r:id="rId90" display="https://www.linkedin.com/jobs/view/4458175262"/>
    <hyperlink ref="F95" r:id="rId91" display="https://www.linkedin.com/jobs/view/4463521689"/>
    <hyperlink ref="F96" r:id="rId92" display="https://www.karriere.at/jobs/7867936"/>
    <hyperlink ref="F97" r:id="rId93" display="https://www.karriere.at/jobs/10029255"/>
    <hyperlink ref="F98" r:id="rId94" display="https://www.linkedin.com/jobs/view/4469576595"/>
    <hyperlink ref="F99" r:id="rId95" display="https://www.karriere.at/jobs/7803704"/>
    <hyperlink ref="F100" r:id="rId96" display="https://www.karriere.at/jobs/10031916"/>
    <hyperlink ref="F101" r:id="rId97" display="https://www.karriere.at/jobs/7847963"/>
    <hyperlink ref="F102" r:id="rId98" display="https://www.karriere.at/jobs/7861810"/>
    <hyperlink ref="F103" r:id="rId99" display="https://www.linkedin.com/jobs/view/4468580476"/>
    <hyperlink ref="F104" r:id="rId100" display="https://www.linkedin.com/jobs/view/4465991468"/>
    <hyperlink ref="F105" r:id="rId101" display="https://www.karriere.at/jobs/7865578"/>
    <hyperlink ref="F106" r:id="rId102" display="https://www.karriere.at/jobs/7814600"/>
    <hyperlink ref="F107" r:id="rId103" display="https://www.linkedin.com/jobs/view/4469723366"/>
    <hyperlink ref="F108" r:id="rId104" display="https://www.karriere.at/jobs/7865083"/>
    <hyperlink ref="F109" r:id="rId105" display="https://www.karriere.at/jobs/10030426"/>
    <hyperlink ref="F110" r:id="rId106" display="https://www.linkedin.com/jobs/view/4466969904"/>
    <hyperlink ref="F111" r:id="rId107" display="https://www.linkedin.com/jobs/view/4470236928"/>
    <hyperlink ref="F112" r:id="rId108" display="https://www.linkedin.com/jobs/view/4472436631"/>
    <hyperlink ref="F113" r:id="rId109" display="https://www.linkedin.com/jobs/view/4469452005"/>
    <hyperlink ref="F114" r:id="rId110" display="https://www.linkedin.com/jobs/view/4445097403"/>
    <hyperlink ref="F115" r:id="rId111" display="https://www.linkedin.com/jobs/view/4465779160"/>
    <hyperlink ref="F116" r:id="rId112" display="https://www.linkedin.com/jobs/view/4465765278"/>
    <hyperlink ref="F117" r:id="rId113" display="https://www.karriere.at/jobs/7879723"/>
    <hyperlink ref="F118" r:id="rId114" display="https://www.linkedin.com/jobs/view/446896694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90"/>
    <col collapsed="false" customWidth="true" hidden="false" outlineLevel="0" max="3" min="3" style="0" width="30"/>
  </cols>
  <sheetData>
    <row r="1" customFormat="false" ht="17.35" hidden="false" customHeight="false" outlineLevel="0" collapsed="false">
      <c r="A1" s="19" t="s">
        <v>2002</v>
      </c>
    </row>
    <row r="3" customFormat="false" ht="15" hidden="false" customHeight="false" outlineLevel="0" collapsed="false">
      <c r="A3" s="21" t="s">
        <v>2003</v>
      </c>
      <c r="B3" s="21" t="s">
        <v>2004</v>
      </c>
      <c r="C3" s="21" t="s">
        <v>2005</v>
      </c>
    </row>
    <row r="4" customFormat="false" ht="43.5" hidden="false" customHeight="true" outlineLevel="0" collapsed="false">
      <c r="A4" s="22" t="s">
        <v>2006</v>
      </c>
      <c r="B4" s="22" t="s">
        <v>2007</v>
      </c>
      <c r="C4" s="22" t="s">
        <v>2008</v>
      </c>
    </row>
    <row r="5" customFormat="false" ht="43.5" hidden="false" customHeight="true" outlineLevel="0" collapsed="false">
      <c r="A5" s="22" t="s">
        <v>2009</v>
      </c>
      <c r="B5" s="22" t="s">
        <v>2010</v>
      </c>
      <c r="C5" s="22" t="s">
        <v>2011</v>
      </c>
    </row>
    <row r="6" customFormat="false" ht="43.5" hidden="false" customHeight="true" outlineLevel="0" collapsed="false">
      <c r="A6" s="22" t="s">
        <v>2012</v>
      </c>
      <c r="B6" s="22" t="s">
        <v>2013</v>
      </c>
      <c r="C6" s="22" t="s">
        <v>2014</v>
      </c>
    </row>
    <row r="7" customFormat="false" ht="43.5" hidden="false" customHeight="true" outlineLevel="0" collapsed="false">
      <c r="A7" s="22" t="s">
        <v>2015</v>
      </c>
      <c r="B7" s="22" t="s">
        <v>2016</v>
      </c>
      <c r="C7" s="22" t="s">
        <v>2017</v>
      </c>
    </row>
    <row r="8" customFormat="false" ht="43.5" hidden="false" customHeight="true" outlineLevel="0" collapsed="false">
      <c r="A8" s="22" t="s">
        <v>2018</v>
      </c>
      <c r="B8" s="22" t="s">
        <v>2019</v>
      </c>
      <c r="C8" s="22" t="s">
        <v>2020</v>
      </c>
    </row>
    <row r="9" customFormat="false" ht="43.5" hidden="false" customHeight="true" outlineLevel="0" collapsed="false">
      <c r="A9" s="22" t="s">
        <v>2021</v>
      </c>
      <c r="B9" s="22" t="s">
        <v>2022</v>
      </c>
      <c r="C9" s="22" t="s">
        <v>2023</v>
      </c>
    </row>
    <row r="10" customFormat="false" ht="43.5" hidden="false" customHeight="true" outlineLevel="0" collapsed="false">
      <c r="A10" s="22" t="s">
        <v>2024</v>
      </c>
      <c r="B10" s="22" t="s">
        <v>2025</v>
      </c>
      <c r="C10" s="22" t="s">
        <v>2026</v>
      </c>
    </row>
    <row r="11" customFormat="false" ht="43.5" hidden="false" customHeight="true" outlineLevel="0" collapsed="false">
      <c r="A11" s="22" t="s">
        <v>2027</v>
      </c>
      <c r="B11" s="22" t="s">
        <v>2028</v>
      </c>
      <c r="C11" s="22" t="s">
        <v>2029</v>
      </c>
    </row>
    <row r="12" customFormat="false" ht="43.5" hidden="false" customHeight="true" outlineLevel="0" collapsed="false">
      <c r="A12" s="22" t="s">
        <v>2030</v>
      </c>
      <c r="B12" s="22" t="s">
        <v>2031</v>
      </c>
      <c r="C12" s="22" t="s">
        <v>2032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2026-09-27T14:35:36Z</dcterms:created>
  <dc:creator>openpyxl</dc:creator>
  <dc:description/>
  <dc:language>en-US</dc:language>
  <cp:lastModifiedBy/>
  <dcterms:modified xsi:type="dcterms:W3CDTF">2026-09-27T14:35:36Z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